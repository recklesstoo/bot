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nGri\Downloads\"/>
    </mc:Choice>
  </mc:AlternateContent>
  <xr:revisionPtr revIDLastSave="0" documentId="13_ncr:1_{86924598-AD3C-4C94-A2DF-35B430B05B21}" xr6:coauthVersionLast="47" xr6:coauthVersionMax="47" xr10:uidLastSave="{00000000-0000-0000-0000-000000000000}"/>
  <workbookProtection workbookAlgorithmName="SHA-512" workbookHashValue="vpE0RpPFQYveq/Vk8+ZjtLN23/lLamdOv1I83oxY3sRHTc0kWsLAcjXdWbBddO91tg6gyAU+HkuF15Au0w6M/w==" workbookSaltValue="FlZm9JNQ3WGtHBHzSAd4Sw==" workbookSpinCount="100000" lockStructure="1"/>
  <bookViews>
    <workbookView xWindow="28680" yWindow="-3105" windowWidth="29040" windowHeight="15720" xr2:uid="{00000000-000D-0000-FFFF-FFFF00000000}"/>
  </bookViews>
  <sheets>
    <sheet name="RADIACIÓN SOLAR" sheetId="1" r:id="rId1"/>
    <sheet name="Hoja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Hernandez</author>
  </authors>
  <commentList>
    <comment ref="A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GRADOS DECIMALES</t>
        </r>
      </text>
    </comment>
    <comment ref="A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GRADOS DECIMALES</t>
        </r>
      </text>
    </comment>
  </commentList>
</comments>
</file>

<file path=xl/sharedStrings.xml><?xml version="1.0" encoding="utf-8"?>
<sst xmlns="http://schemas.openxmlformats.org/spreadsheetml/2006/main" count="203" uniqueCount="201">
  <si>
    <t>m2</t>
  </si>
  <si>
    <t>unidades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</si>
  <si>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</si>
  <si>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</si>
  <si>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</si>
  <si>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</si>
  <si>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</si>
  <si>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</si>
  <si>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</si>
  <si>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</si>
  <si>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</si>
  <si>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</si>
  <si>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</si>
  <si>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</si>
  <si>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</si>
  <si>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</si>
  <si>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</si>
  <si>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</si>
  <si>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</si>
  <si>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</si>
  <si>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</si>
  <si>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</si>
  <si>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</si>
  <si>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</si>
  <si>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</si>
  <si>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</si>
  <si>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CENTRO NACIONAL DE DESPACHO</t>
  </si>
  <si>
    <t>REGISTROS HISTÓRICOS DE RADIACIÓN SOLAR (Watt/m2)</t>
  </si>
  <si>
    <t>CENTRAL:</t>
  </si>
  <si>
    <t>AÑO:</t>
  </si>
  <si>
    <t>LATITUD:</t>
  </si>
  <si>
    <t>LONGITUD:</t>
  </si>
  <si>
    <t>DIMENSIÓN DEL PANEL SOLAR:</t>
  </si>
  <si>
    <t>CANTIDAD DE PANELES DEL PARQUE:</t>
  </si>
  <si>
    <t>EFICIENCIA DE LA PLANTA:</t>
  </si>
  <si>
    <t>EFICIENCIA DEL PANEL SOLAR:</t>
  </si>
  <si>
    <t>%</t>
  </si>
  <si>
    <t>FECHA (DD/MM/AAA)</t>
  </si>
  <si>
    <t>Chiriquí</t>
  </si>
  <si>
    <t>Sarigua</t>
  </si>
  <si>
    <t>Aguadulce Solar</t>
  </si>
  <si>
    <t>Zona Franca-Albrook</t>
  </si>
  <si>
    <t>Solar Coclé</t>
  </si>
  <si>
    <t>Bosques Solares de Coclé</t>
  </si>
  <si>
    <t>Bosques Solares de Penonomé</t>
  </si>
  <si>
    <t>Caldera</t>
  </si>
  <si>
    <t>Campo Solar Tocumen</t>
  </si>
  <si>
    <t>Coclé Solar</t>
  </si>
  <si>
    <t>Daconan</t>
  </si>
  <si>
    <t>Divisa Solar</t>
  </si>
  <si>
    <t>Don Félix</t>
  </si>
  <si>
    <t>Ecosolar</t>
  </si>
  <si>
    <t>El Chumical I</t>
  </si>
  <si>
    <t>El Coco</t>
  </si>
  <si>
    <t>El Espinal</t>
  </si>
  <si>
    <t>El Fraile Solar</t>
  </si>
  <si>
    <t>Esperanza Solar</t>
  </si>
  <si>
    <t>Farallón 2</t>
  </si>
  <si>
    <t>Ikako</t>
  </si>
  <si>
    <t>Ikako 1</t>
  </si>
  <si>
    <t>Ikako 2</t>
  </si>
  <si>
    <t>Ikako 3</t>
  </si>
  <si>
    <t>La Mata</t>
  </si>
  <si>
    <t>La Salamanca</t>
  </si>
  <si>
    <t>Llano Sánchez</t>
  </si>
  <si>
    <t>Los Ángeles</t>
  </si>
  <si>
    <t>Los Llanos</t>
  </si>
  <si>
    <t>Milton</t>
  </si>
  <si>
    <t>Panasolar</t>
  </si>
  <si>
    <t>Paris</t>
  </si>
  <si>
    <t>Penonomé</t>
  </si>
  <si>
    <t>Pocrí</t>
  </si>
  <si>
    <t>Progreso I</t>
  </si>
  <si>
    <t>Progreso II</t>
  </si>
  <si>
    <t>Providencia Solar</t>
  </si>
  <si>
    <t>Sol de David</t>
  </si>
  <si>
    <t>Sol Real</t>
  </si>
  <si>
    <t>Bugaba</t>
  </si>
  <si>
    <t>Vista Alegre</t>
  </si>
  <si>
    <t>INCLINACIÓN:</t>
  </si>
  <si>
    <t>AZIMUT:</t>
  </si>
  <si>
    <t>Pacora II</t>
  </si>
  <si>
    <t>Bajo Frío</t>
  </si>
  <si>
    <t>Gualaca</t>
  </si>
  <si>
    <t>Prudencia</t>
  </si>
  <si>
    <t>Bejuco</t>
  </si>
  <si>
    <t>Jagüito Solar</t>
  </si>
  <si>
    <t>La Esperanza Solar</t>
  </si>
  <si>
    <t>Camarones</t>
  </si>
  <si>
    <t>Santiago Gen 1</t>
  </si>
  <si>
    <t>Santiago Gen 2</t>
  </si>
  <si>
    <t>La Victoria</t>
  </si>
  <si>
    <t>San Enrique</t>
  </si>
  <si>
    <t>Prima</t>
  </si>
  <si>
    <t>Agua Fria</t>
  </si>
  <si>
    <t>Las Lajas</t>
  </si>
  <si>
    <t>Esti Solar</t>
  </si>
  <si>
    <t>Madre Vieja</t>
  </si>
  <si>
    <t>Baco</t>
  </si>
  <si>
    <t>Mendoza</t>
  </si>
  <si>
    <t>Pesé</t>
  </si>
  <si>
    <t>Cerro Viejo</t>
  </si>
  <si>
    <t>ESTRELLA SOLAR</t>
  </si>
  <si>
    <t>Mayorca Solar</t>
  </si>
  <si>
    <t>Cedro Solar</t>
  </si>
  <si>
    <t>Caobo Solar</t>
  </si>
  <si>
    <t>Los Santos Solar</t>
  </si>
  <si>
    <t>MACANO SOLAR</t>
  </si>
  <si>
    <t>Antón Solar</t>
  </si>
  <si>
    <t>RA Solar</t>
  </si>
  <si>
    <t>Oro Solar</t>
  </si>
  <si>
    <t>Panasolar II</t>
  </si>
  <si>
    <t>Panasolar III</t>
  </si>
  <si>
    <t>Panasolar IV</t>
  </si>
  <si>
    <t>Ecosolar II</t>
  </si>
  <si>
    <t>Ecosolar III</t>
  </si>
  <si>
    <t>Ecosolar IV</t>
  </si>
  <si>
    <t>Rio de Jesús</t>
  </si>
  <si>
    <t>Caimitillo</t>
  </si>
  <si>
    <t>Penonomé II</t>
  </si>
  <si>
    <t>Almacenadora Solar</t>
  </si>
  <si>
    <t>Andreas Power</t>
  </si>
  <si>
    <t>ANSA Solar Coclé</t>
  </si>
  <si>
    <t>Anton Solar 1</t>
  </si>
  <si>
    <t>Campo Solar Santiago 1</t>
  </si>
  <si>
    <t>Campo Solar Santiago 2</t>
  </si>
  <si>
    <t>Campo Solar Santiago 3</t>
  </si>
  <si>
    <t>Campo Solar Santiago 4</t>
  </si>
  <si>
    <t>Campo Solar Santiago 5</t>
  </si>
  <si>
    <t>Campo Solar Santiago 6</t>
  </si>
  <si>
    <t>Campo Solar Santiago 7</t>
  </si>
  <si>
    <t>Chupampa</t>
  </si>
  <si>
    <t>Corotú</t>
  </si>
  <si>
    <t>Ecoener San Juan</t>
  </si>
  <si>
    <t>Estí Solar 2</t>
  </si>
  <si>
    <t>Helios Apolo Solar</t>
  </si>
  <si>
    <t>Hidropiedra Solar</t>
  </si>
  <si>
    <t>La Cantera</t>
  </si>
  <si>
    <t>La Hueca Solar</t>
  </si>
  <si>
    <t>La Inmaculada</t>
  </si>
  <si>
    <t>La Mesa</t>
  </si>
  <si>
    <t>La Villa Solar</t>
  </si>
  <si>
    <t>MASPV</t>
  </si>
  <si>
    <t>Mendre Solar</t>
  </si>
  <si>
    <t>Panama Cotoba Solar</t>
  </si>
  <si>
    <t>Pedasí Solar</t>
  </si>
  <si>
    <t>Pedregalito Solar Power</t>
  </si>
  <si>
    <t>Rodeo Solar</t>
  </si>
  <si>
    <t>Salamanca</t>
  </si>
  <si>
    <t>San Bartolo 1</t>
  </si>
  <si>
    <t>San Bartolo 2</t>
  </si>
  <si>
    <t>San Bartolo 3</t>
  </si>
  <si>
    <t>San Bartolo 4</t>
  </si>
  <si>
    <t>San Carlos Solar</t>
  </si>
  <si>
    <t>Agua Viva</t>
  </si>
  <si>
    <t>Brillo Solar</t>
  </si>
  <si>
    <t>Cacao Solar</t>
  </si>
  <si>
    <t>Capira Solar</t>
  </si>
  <si>
    <t>Clean Solar</t>
  </si>
  <si>
    <t>Deca Solar</t>
  </si>
  <si>
    <t>El Fraile Solar 2</t>
  </si>
  <si>
    <t>Flamboyan Solar</t>
  </si>
  <si>
    <t>Forsun Solar</t>
  </si>
  <si>
    <t>HP Solar</t>
  </si>
  <si>
    <t>Jaguito Green Energy I</t>
  </si>
  <si>
    <t>Jaguito Green Energy II</t>
  </si>
  <si>
    <t>Jaguito Green Energy III</t>
  </si>
  <si>
    <t>La Torre solar</t>
  </si>
  <si>
    <t>La Union Solar</t>
  </si>
  <si>
    <t>Las Lomas Solar</t>
  </si>
  <si>
    <t>Mata de Nane Solar</t>
  </si>
  <si>
    <t>Oeste Solar 1</t>
  </si>
  <si>
    <t>Oeste Solar 2</t>
  </si>
  <si>
    <t>Oeste Solar 3</t>
  </si>
  <si>
    <t>Pacora Solar</t>
  </si>
  <si>
    <t>Panamá Cotoba Solar 250 MW</t>
  </si>
  <si>
    <t>Panasolar IX</t>
  </si>
  <si>
    <t>Panasolar V</t>
  </si>
  <si>
    <t>Panasolar VI</t>
  </si>
  <si>
    <t>Panasolar VII</t>
  </si>
  <si>
    <t>Panasolar VIII</t>
  </si>
  <si>
    <t>Parque Fotovoltaico La Mesa</t>
  </si>
  <si>
    <t>Parque Fotovoltaico San Bartolo</t>
  </si>
  <si>
    <t>Parque Fotovoltaico Santiago</t>
  </si>
  <si>
    <t>Parque Solar Alanje  2</t>
  </si>
  <si>
    <t>Parque Solar Alanje 1</t>
  </si>
  <si>
    <t>Parque Solar Alanje 3</t>
  </si>
  <si>
    <t>Parque Solar San José</t>
  </si>
  <si>
    <t>Planta Solar Fotovoltaica Penonomé 2</t>
  </si>
  <si>
    <t>San Lorenzo Solar</t>
  </si>
  <si>
    <t>Santa Cruz  Solar</t>
  </si>
  <si>
    <t>Solarpro</t>
  </si>
  <si>
    <t>SolarPro 2</t>
  </si>
  <si>
    <t>UP1</t>
  </si>
  <si>
    <t>UP2</t>
  </si>
  <si>
    <t>UP3</t>
  </si>
  <si>
    <t>UP4</t>
  </si>
  <si>
    <t>Veranera Solar</t>
  </si>
  <si>
    <t>10°</t>
  </si>
  <si>
    <t>0°</t>
  </si>
  <si>
    <t xml:space="preserve">1.979 x 1.002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</si>
</sst>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28"/>
      <name val="Century Gothic"/>
      <family val="2"/>
    </font>
    <font>
      <sz val="10"/>
      <name val="Century Gothic"/>
      <family val="2"/>
    </font>
    <font>
      <b/>
      <sz val="36"/>
      <color theme="0"/>
      <name val="Century Gothic"/>
      <family val="2"/>
    </font>
    <font>
      <b/>
      <sz val="18"/>
      <color theme="3"/>
      <name val="Century Gothic"/>
      <family val="2"/>
    </font>
    <font>
      <b/>
      <sz val="10"/>
      <color theme="1" tint="0.249977111117893"/>
      <name val="Century Gothic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4" tint="-0.249977111117893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1" fontId="4" fillId="0" borderId="0" xfId="0" applyNumberFormat="1" applyFont="1" applyAlignment="1">
      <alignment vertical="center"/>
    </xf>
    <xf numFmtId="0" fontId="5" fillId="0" borderId="0" xfId="0" applyFont="1"/>
    <xf numFmtId="0" fontId="6" fillId="0" borderId="0" xfId="0" applyFont="1"/>
    <xf numFmtId="1" fontId="7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14" fontId="0" fillId="0" borderId="0" xfId="0" applyNumberFormat="1"/>
    <xf numFmtId="165" fontId="0" fillId="0" borderId="0" xfId="0" applyNumberFormat="1"/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2" applyFont="1" applyFill="1" applyAlignment="1" applyProtection="1">
      <alignment horizontal="left" indent="2"/>
    </xf>
    <xf numFmtId="0" fontId="11" fillId="0" borderId="0" xfId="0" applyFont="1" applyAlignment="1">
      <alignment horizontal="left" vertical="center"/>
    </xf>
    <xf numFmtId="0" fontId="12" fillId="0" borderId="0" xfId="2" applyFont="1" applyFill="1" applyAlignment="1" applyProtection="1">
      <alignment horizontal="left" vertical="center" wrapText="1"/>
    </xf>
    <xf numFmtId="0" fontId="13" fillId="0" borderId="0" xfId="2" applyFont="1" applyFill="1" applyProtection="1"/>
    <xf numFmtId="0" fontId="14" fillId="0" borderId="0" xfId="2" applyFont="1" applyFill="1" applyProtection="1"/>
    <xf numFmtId="0" fontId="15" fillId="0" borderId="0" xfId="0" applyFont="1"/>
    <xf numFmtId="0" fontId="16" fillId="2" borderId="0" xfId="0" applyFont="1" applyFill="1"/>
    <xf numFmtId="0" fontId="3" fillId="0" borderId="0" xfId="0" applyFont="1"/>
    <xf numFmtId="0" fontId="3" fillId="0" borderId="0" xfId="0" applyFont="1" applyAlignment="1">
      <alignment horizontal="left"/>
    </xf>
    <xf numFmtId="165" fontId="0" fillId="0" borderId="3" xfId="0" applyNumberFormat="1" applyBorder="1" applyProtection="1">
      <protection locked="0"/>
    </xf>
    <xf numFmtId="0" fontId="16" fillId="2" borderId="4" xfId="0" applyFont="1" applyFill="1" applyBorder="1"/>
    <xf numFmtId="0" fontId="16" fillId="2" borderId="5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/>
      <protection locked="0"/>
    </xf>
    <xf numFmtId="164" fontId="1" fillId="0" borderId="0" xfId="1" applyFont="1" applyFill="1"/>
    <xf numFmtId="0" fontId="0" fillId="0" borderId="2" xfId="0" applyBorder="1" applyAlignment="1" applyProtection="1">
      <alignment horizontal="center"/>
      <protection locked="0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5" fillId="0" borderId="1" xfId="0" applyFont="1" applyBorder="1" applyAlignment="1" applyProtection="1">
      <alignment horizontal="center" wrapText="1"/>
      <protection locked="0"/>
    </xf>
    <xf numFmtId="0" fontId="5" fillId="0" borderId="2" xfId="0" applyFont="1" applyBorder="1" applyAlignment="1" applyProtection="1">
      <alignment horizontal="center" wrapText="1"/>
      <protection locked="0"/>
    </xf>
    <xf numFmtId="49" fontId="17" fillId="0" borderId="1" xfId="0" applyNumberFormat="1" applyFont="1" applyBorder="1" applyAlignment="1" applyProtection="1">
      <alignment horizontal="left"/>
      <protection locked="0"/>
    </xf>
    <xf numFmtId="0" fontId="16" fillId="2" borderId="0" xfId="0" applyFont="1" applyFill="1" applyAlignment="1">
      <alignment horizontal="left" wrapText="1"/>
    </xf>
    <xf numFmtId="0" fontId="7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Título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0</xdr:colOff>
      <xdr:row>3</xdr:row>
      <xdr:rowOff>20080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1076325" cy="985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I389"/>
  <sheetViews>
    <sheetView tabSelected="1" topLeftCell="A175" workbookViewId="0">
      <selection activeCell="R197" sqref="R197"/>
    </sheetView>
  </sheetViews>
  <sheetFormatPr baseColWidth="10" defaultColWidth="10.85546875" defaultRowHeight="15" x14ac:dyDescent="0.25"/>
  <cols>
    <col min="1" max="1" width="18.42578125" customWidth="1"/>
    <col min="3" max="3" width="11.5703125" customWidth="1"/>
    <col min="4" max="4" width="12.140625" bestFit="1" customWidth="1"/>
    <col min="5" max="5" width="7.42578125" customWidth="1"/>
    <col min="6" max="6" width="11.7109375" customWidth="1"/>
    <col min="7" max="7" width="8.140625" customWidth="1"/>
    <col min="8" max="8" width="8.7109375" customWidth="1"/>
    <col min="9" max="9" width="9.42578125" customWidth="1"/>
    <col min="10" max="10" width="9.85546875" customWidth="1"/>
    <col min="11" max="11" width="8.5703125" customWidth="1"/>
    <col min="12" max="12" width="8.42578125" customWidth="1"/>
    <col min="13" max="13" width="7.5703125" bestFit="1" customWidth="1"/>
    <col min="14" max="14" width="8.5703125" customWidth="1"/>
    <col min="15" max="15" width="7.5703125" bestFit="1" customWidth="1"/>
    <col min="16" max="16" width="10.7109375" customWidth="1"/>
    <col min="17" max="17" width="10" customWidth="1"/>
    <col min="18" max="18" width="10.5703125" customWidth="1"/>
    <col min="19" max="19" width="8.5703125" bestFit="1" customWidth="1"/>
    <col min="20" max="23" width="7.5703125" bestFit="1" customWidth="1"/>
    <col min="24" max="24" width="8.5703125" customWidth="1"/>
    <col min="25" max="25" width="8.7109375" customWidth="1"/>
    <col min="26" max="28" width="5.5703125" bestFit="1" customWidth="1"/>
    <col min="29" max="33" width="14.5703125" bestFit="1" customWidth="1"/>
    <col min="34" max="34" width="13" bestFit="1" customWidth="1"/>
    <col min="35" max="38" width="6.5703125" bestFit="1" customWidth="1"/>
    <col min="259" max="259" width="6.85546875" customWidth="1"/>
    <col min="260" max="260" width="12.140625" bestFit="1" customWidth="1"/>
    <col min="261" max="261" width="7.42578125" customWidth="1"/>
    <col min="262" max="267" width="5.5703125" bestFit="1" customWidth="1"/>
    <col min="268" max="268" width="8.42578125" customWidth="1"/>
    <col min="269" max="269" width="7.5703125" bestFit="1" customWidth="1"/>
    <col min="270" max="270" width="8.5703125" customWidth="1"/>
    <col min="271" max="272" width="7.5703125" bestFit="1" customWidth="1"/>
    <col min="273" max="275" width="8.5703125" bestFit="1" customWidth="1"/>
    <col min="276" max="279" width="7.5703125" bestFit="1" customWidth="1"/>
    <col min="280" max="280" width="6.5703125" bestFit="1" customWidth="1"/>
    <col min="281" max="284" width="5.5703125" bestFit="1" customWidth="1"/>
    <col min="285" max="289" width="14.5703125" bestFit="1" customWidth="1"/>
    <col min="290" max="290" width="13" bestFit="1" customWidth="1"/>
    <col min="291" max="294" width="6.5703125" bestFit="1" customWidth="1"/>
    <col min="515" max="515" width="6.85546875" customWidth="1"/>
    <col min="516" max="516" width="12.140625" bestFit="1" customWidth="1"/>
    <col min="517" max="517" width="7.42578125" customWidth="1"/>
    <col min="518" max="523" width="5.5703125" bestFit="1" customWidth="1"/>
    <col min="524" max="524" width="8.42578125" customWidth="1"/>
    <col min="525" max="525" width="7.5703125" bestFit="1" customWidth="1"/>
    <col min="526" max="526" width="8.5703125" customWidth="1"/>
    <col min="527" max="528" width="7.5703125" bestFit="1" customWidth="1"/>
    <col min="529" max="531" width="8.5703125" bestFit="1" customWidth="1"/>
    <col min="532" max="535" width="7.5703125" bestFit="1" customWidth="1"/>
    <col min="536" max="536" width="6.5703125" bestFit="1" customWidth="1"/>
    <col min="537" max="540" width="5.5703125" bestFit="1" customWidth="1"/>
    <col min="541" max="545" width="14.5703125" bestFit="1" customWidth="1"/>
    <col min="546" max="546" width="13" bestFit="1" customWidth="1"/>
    <col min="547" max="550" width="6.5703125" bestFit="1" customWidth="1"/>
    <col min="771" max="771" width="6.85546875" customWidth="1"/>
    <col min="772" max="772" width="12.140625" bestFit="1" customWidth="1"/>
    <col min="773" max="773" width="7.42578125" customWidth="1"/>
    <col min="774" max="779" width="5.5703125" bestFit="1" customWidth="1"/>
    <col min="780" max="780" width="8.42578125" customWidth="1"/>
    <col min="781" max="781" width="7.5703125" bestFit="1" customWidth="1"/>
    <col min="782" max="782" width="8.5703125" customWidth="1"/>
    <col min="783" max="784" width="7.5703125" bestFit="1" customWidth="1"/>
    <col min="785" max="787" width="8.5703125" bestFit="1" customWidth="1"/>
    <col min="788" max="791" width="7.5703125" bestFit="1" customWidth="1"/>
    <col min="792" max="792" width="6.5703125" bestFit="1" customWidth="1"/>
    <col min="793" max="796" width="5.5703125" bestFit="1" customWidth="1"/>
    <col min="797" max="801" width="14.5703125" bestFit="1" customWidth="1"/>
    <col min="802" max="802" width="13" bestFit="1" customWidth="1"/>
    <col min="803" max="806" width="6.5703125" bestFit="1" customWidth="1"/>
    <col min="1027" max="1027" width="6.85546875" customWidth="1"/>
    <col min="1028" max="1028" width="12.140625" bestFit="1" customWidth="1"/>
    <col min="1029" max="1029" width="7.42578125" customWidth="1"/>
    <col min="1030" max="1035" width="5.5703125" bestFit="1" customWidth="1"/>
    <col min="1036" max="1036" width="8.42578125" customWidth="1"/>
    <col min="1037" max="1037" width="7.5703125" bestFit="1" customWidth="1"/>
    <col min="1038" max="1038" width="8.5703125" customWidth="1"/>
    <col min="1039" max="1040" width="7.5703125" bestFit="1" customWidth="1"/>
    <col min="1041" max="1043" width="8.5703125" bestFit="1" customWidth="1"/>
    <col min="1044" max="1047" width="7.5703125" bestFit="1" customWidth="1"/>
    <col min="1048" max="1048" width="6.5703125" bestFit="1" customWidth="1"/>
    <col min="1049" max="1052" width="5.5703125" bestFit="1" customWidth="1"/>
    <col min="1053" max="1057" width="14.5703125" bestFit="1" customWidth="1"/>
    <col min="1058" max="1058" width="13" bestFit="1" customWidth="1"/>
    <col min="1059" max="1062" width="6.5703125" bestFit="1" customWidth="1"/>
    <col min="1283" max="1283" width="6.85546875" customWidth="1"/>
    <col min="1284" max="1284" width="12.140625" bestFit="1" customWidth="1"/>
    <col min="1285" max="1285" width="7.42578125" customWidth="1"/>
    <col min="1286" max="1291" width="5.5703125" bestFit="1" customWidth="1"/>
    <col min="1292" max="1292" width="8.42578125" customWidth="1"/>
    <col min="1293" max="1293" width="7.5703125" bestFit="1" customWidth="1"/>
    <col min="1294" max="1294" width="8.5703125" customWidth="1"/>
    <col min="1295" max="1296" width="7.5703125" bestFit="1" customWidth="1"/>
    <col min="1297" max="1299" width="8.5703125" bestFit="1" customWidth="1"/>
    <col min="1300" max="1303" width="7.5703125" bestFit="1" customWidth="1"/>
    <col min="1304" max="1304" width="6.5703125" bestFit="1" customWidth="1"/>
    <col min="1305" max="1308" width="5.5703125" bestFit="1" customWidth="1"/>
    <col min="1309" max="1313" width="14.5703125" bestFit="1" customWidth="1"/>
    <col min="1314" max="1314" width="13" bestFit="1" customWidth="1"/>
    <col min="1315" max="1318" width="6.5703125" bestFit="1" customWidth="1"/>
    <col min="1539" max="1539" width="6.85546875" customWidth="1"/>
    <col min="1540" max="1540" width="12.140625" bestFit="1" customWidth="1"/>
    <col min="1541" max="1541" width="7.42578125" customWidth="1"/>
    <col min="1542" max="1547" width="5.5703125" bestFit="1" customWidth="1"/>
    <col min="1548" max="1548" width="8.42578125" customWidth="1"/>
    <col min="1549" max="1549" width="7.5703125" bestFit="1" customWidth="1"/>
    <col min="1550" max="1550" width="8.5703125" customWidth="1"/>
    <col min="1551" max="1552" width="7.5703125" bestFit="1" customWidth="1"/>
    <col min="1553" max="1555" width="8.5703125" bestFit="1" customWidth="1"/>
    <col min="1556" max="1559" width="7.5703125" bestFit="1" customWidth="1"/>
    <col min="1560" max="1560" width="6.5703125" bestFit="1" customWidth="1"/>
    <col min="1561" max="1564" width="5.5703125" bestFit="1" customWidth="1"/>
    <col min="1565" max="1569" width="14.5703125" bestFit="1" customWidth="1"/>
    <col min="1570" max="1570" width="13" bestFit="1" customWidth="1"/>
    <col min="1571" max="1574" width="6.5703125" bestFit="1" customWidth="1"/>
    <col min="1795" max="1795" width="6.85546875" customWidth="1"/>
    <col min="1796" max="1796" width="12.140625" bestFit="1" customWidth="1"/>
    <col min="1797" max="1797" width="7.42578125" customWidth="1"/>
    <col min="1798" max="1803" width="5.5703125" bestFit="1" customWidth="1"/>
    <col min="1804" max="1804" width="8.42578125" customWidth="1"/>
    <col min="1805" max="1805" width="7.5703125" bestFit="1" customWidth="1"/>
    <col min="1806" max="1806" width="8.5703125" customWidth="1"/>
    <col min="1807" max="1808" width="7.5703125" bestFit="1" customWidth="1"/>
    <col min="1809" max="1811" width="8.5703125" bestFit="1" customWidth="1"/>
    <col min="1812" max="1815" width="7.5703125" bestFit="1" customWidth="1"/>
    <col min="1816" max="1816" width="6.5703125" bestFit="1" customWidth="1"/>
    <col min="1817" max="1820" width="5.5703125" bestFit="1" customWidth="1"/>
    <col min="1821" max="1825" width="14.5703125" bestFit="1" customWidth="1"/>
    <col min="1826" max="1826" width="13" bestFit="1" customWidth="1"/>
    <col min="1827" max="1830" width="6.5703125" bestFit="1" customWidth="1"/>
    <col min="2051" max="2051" width="6.85546875" customWidth="1"/>
    <col min="2052" max="2052" width="12.140625" bestFit="1" customWidth="1"/>
    <col min="2053" max="2053" width="7.42578125" customWidth="1"/>
    <col min="2054" max="2059" width="5.5703125" bestFit="1" customWidth="1"/>
    <col min="2060" max="2060" width="8.42578125" customWidth="1"/>
    <col min="2061" max="2061" width="7.5703125" bestFit="1" customWidth="1"/>
    <col min="2062" max="2062" width="8.5703125" customWidth="1"/>
    <col min="2063" max="2064" width="7.5703125" bestFit="1" customWidth="1"/>
    <col min="2065" max="2067" width="8.5703125" bestFit="1" customWidth="1"/>
    <col min="2068" max="2071" width="7.5703125" bestFit="1" customWidth="1"/>
    <col min="2072" max="2072" width="6.5703125" bestFit="1" customWidth="1"/>
    <col min="2073" max="2076" width="5.5703125" bestFit="1" customWidth="1"/>
    <col min="2077" max="2081" width="14.5703125" bestFit="1" customWidth="1"/>
    <col min="2082" max="2082" width="13" bestFit="1" customWidth="1"/>
    <col min="2083" max="2086" width="6.5703125" bestFit="1" customWidth="1"/>
    <col min="2307" max="2307" width="6.85546875" customWidth="1"/>
    <col min="2308" max="2308" width="12.140625" bestFit="1" customWidth="1"/>
    <col min="2309" max="2309" width="7.42578125" customWidth="1"/>
    <col min="2310" max="2315" width="5.5703125" bestFit="1" customWidth="1"/>
    <col min="2316" max="2316" width="8.42578125" customWidth="1"/>
    <col min="2317" max="2317" width="7.5703125" bestFit="1" customWidth="1"/>
    <col min="2318" max="2318" width="8.5703125" customWidth="1"/>
    <col min="2319" max="2320" width="7.5703125" bestFit="1" customWidth="1"/>
    <col min="2321" max="2323" width="8.5703125" bestFit="1" customWidth="1"/>
    <col min="2324" max="2327" width="7.5703125" bestFit="1" customWidth="1"/>
    <col min="2328" max="2328" width="6.5703125" bestFit="1" customWidth="1"/>
    <col min="2329" max="2332" width="5.5703125" bestFit="1" customWidth="1"/>
    <col min="2333" max="2337" width="14.5703125" bestFit="1" customWidth="1"/>
    <col min="2338" max="2338" width="13" bestFit="1" customWidth="1"/>
    <col min="2339" max="2342" width="6.5703125" bestFit="1" customWidth="1"/>
    <col min="2563" max="2563" width="6.85546875" customWidth="1"/>
    <col min="2564" max="2564" width="12.140625" bestFit="1" customWidth="1"/>
    <col min="2565" max="2565" width="7.42578125" customWidth="1"/>
    <col min="2566" max="2571" width="5.5703125" bestFit="1" customWidth="1"/>
    <col min="2572" max="2572" width="8.42578125" customWidth="1"/>
    <col min="2573" max="2573" width="7.5703125" bestFit="1" customWidth="1"/>
    <col min="2574" max="2574" width="8.5703125" customWidth="1"/>
    <col min="2575" max="2576" width="7.5703125" bestFit="1" customWidth="1"/>
    <col min="2577" max="2579" width="8.5703125" bestFit="1" customWidth="1"/>
    <col min="2580" max="2583" width="7.5703125" bestFit="1" customWidth="1"/>
    <col min="2584" max="2584" width="6.5703125" bestFit="1" customWidth="1"/>
    <col min="2585" max="2588" width="5.5703125" bestFit="1" customWidth="1"/>
    <col min="2589" max="2593" width="14.5703125" bestFit="1" customWidth="1"/>
    <col min="2594" max="2594" width="13" bestFit="1" customWidth="1"/>
    <col min="2595" max="2598" width="6.5703125" bestFit="1" customWidth="1"/>
    <col min="2819" max="2819" width="6.85546875" customWidth="1"/>
    <col min="2820" max="2820" width="12.140625" bestFit="1" customWidth="1"/>
    <col min="2821" max="2821" width="7.42578125" customWidth="1"/>
    <col min="2822" max="2827" width="5.5703125" bestFit="1" customWidth="1"/>
    <col min="2828" max="2828" width="8.42578125" customWidth="1"/>
    <col min="2829" max="2829" width="7.5703125" bestFit="1" customWidth="1"/>
    <col min="2830" max="2830" width="8.5703125" customWidth="1"/>
    <col min="2831" max="2832" width="7.5703125" bestFit="1" customWidth="1"/>
    <col min="2833" max="2835" width="8.5703125" bestFit="1" customWidth="1"/>
    <col min="2836" max="2839" width="7.5703125" bestFit="1" customWidth="1"/>
    <col min="2840" max="2840" width="6.5703125" bestFit="1" customWidth="1"/>
    <col min="2841" max="2844" width="5.5703125" bestFit="1" customWidth="1"/>
    <col min="2845" max="2849" width="14.5703125" bestFit="1" customWidth="1"/>
    <col min="2850" max="2850" width="13" bestFit="1" customWidth="1"/>
    <col min="2851" max="2854" width="6.5703125" bestFit="1" customWidth="1"/>
    <col min="3075" max="3075" width="6.85546875" customWidth="1"/>
    <col min="3076" max="3076" width="12.140625" bestFit="1" customWidth="1"/>
    <col min="3077" max="3077" width="7.42578125" customWidth="1"/>
    <col min="3078" max="3083" width="5.5703125" bestFit="1" customWidth="1"/>
    <col min="3084" max="3084" width="8.42578125" customWidth="1"/>
    <col min="3085" max="3085" width="7.5703125" bestFit="1" customWidth="1"/>
    <col min="3086" max="3086" width="8.5703125" customWidth="1"/>
    <col min="3087" max="3088" width="7.5703125" bestFit="1" customWidth="1"/>
    <col min="3089" max="3091" width="8.5703125" bestFit="1" customWidth="1"/>
    <col min="3092" max="3095" width="7.5703125" bestFit="1" customWidth="1"/>
    <col min="3096" max="3096" width="6.5703125" bestFit="1" customWidth="1"/>
    <col min="3097" max="3100" width="5.5703125" bestFit="1" customWidth="1"/>
    <col min="3101" max="3105" width="14.5703125" bestFit="1" customWidth="1"/>
    <col min="3106" max="3106" width="13" bestFit="1" customWidth="1"/>
    <col min="3107" max="3110" width="6.5703125" bestFit="1" customWidth="1"/>
    <col min="3331" max="3331" width="6.85546875" customWidth="1"/>
    <col min="3332" max="3332" width="12.140625" bestFit="1" customWidth="1"/>
    <col min="3333" max="3333" width="7.42578125" customWidth="1"/>
    <col min="3334" max="3339" width="5.5703125" bestFit="1" customWidth="1"/>
    <col min="3340" max="3340" width="8.42578125" customWidth="1"/>
    <col min="3341" max="3341" width="7.5703125" bestFit="1" customWidth="1"/>
    <col min="3342" max="3342" width="8.5703125" customWidth="1"/>
    <col min="3343" max="3344" width="7.5703125" bestFit="1" customWidth="1"/>
    <col min="3345" max="3347" width="8.5703125" bestFit="1" customWidth="1"/>
    <col min="3348" max="3351" width="7.5703125" bestFit="1" customWidth="1"/>
    <col min="3352" max="3352" width="6.5703125" bestFit="1" customWidth="1"/>
    <col min="3353" max="3356" width="5.5703125" bestFit="1" customWidth="1"/>
    <col min="3357" max="3361" width="14.5703125" bestFit="1" customWidth="1"/>
    <col min="3362" max="3362" width="13" bestFit="1" customWidth="1"/>
    <col min="3363" max="3366" width="6.5703125" bestFit="1" customWidth="1"/>
    <col min="3587" max="3587" width="6.85546875" customWidth="1"/>
    <col min="3588" max="3588" width="12.140625" bestFit="1" customWidth="1"/>
    <col min="3589" max="3589" width="7.42578125" customWidth="1"/>
    <col min="3590" max="3595" width="5.5703125" bestFit="1" customWidth="1"/>
    <col min="3596" max="3596" width="8.42578125" customWidth="1"/>
    <col min="3597" max="3597" width="7.5703125" bestFit="1" customWidth="1"/>
    <col min="3598" max="3598" width="8.5703125" customWidth="1"/>
    <col min="3599" max="3600" width="7.5703125" bestFit="1" customWidth="1"/>
    <col min="3601" max="3603" width="8.5703125" bestFit="1" customWidth="1"/>
    <col min="3604" max="3607" width="7.5703125" bestFit="1" customWidth="1"/>
    <col min="3608" max="3608" width="6.5703125" bestFit="1" customWidth="1"/>
    <col min="3609" max="3612" width="5.5703125" bestFit="1" customWidth="1"/>
    <col min="3613" max="3617" width="14.5703125" bestFit="1" customWidth="1"/>
    <col min="3618" max="3618" width="13" bestFit="1" customWidth="1"/>
    <col min="3619" max="3622" width="6.5703125" bestFit="1" customWidth="1"/>
    <col min="3843" max="3843" width="6.85546875" customWidth="1"/>
    <col min="3844" max="3844" width="12.140625" bestFit="1" customWidth="1"/>
    <col min="3845" max="3845" width="7.42578125" customWidth="1"/>
    <col min="3846" max="3851" width="5.5703125" bestFit="1" customWidth="1"/>
    <col min="3852" max="3852" width="8.42578125" customWidth="1"/>
    <col min="3853" max="3853" width="7.5703125" bestFit="1" customWidth="1"/>
    <col min="3854" max="3854" width="8.5703125" customWidth="1"/>
    <col min="3855" max="3856" width="7.5703125" bestFit="1" customWidth="1"/>
    <col min="3857" max="3859" width="8.5703125" bestFit="1" customWidth="1"/>
    <col min="3860" max="3863" width="7.5703125" bestFit="1" customWidth="1"/>
    <col min="3864" max="3864" width="6.5703125" bestFit="1" customWidth="1"/>
    <col min="3865" max="3868" width="5.5703125" bestFit="1" customWidth="1"/>
    <col min="3869" max="3873" width="14.5703125" bestFit="1" customWidth="1"/>
    <col min="3874" max="3874" width="13" bestFit="1" customWidth="1"/>
    <col min="3875" max="3878" width="6.5703125" bestFit="1" customWidth="1"/>
    <col min="4099" max="4099" width="6.85546875" customWidth="1"/>
    <col min="4100" max="4100" width="12.140625" bestFit="1" customWidth="1"/>
    <col min="4101" max="4101" width="7.42578125" customWidth="1"/>
    <col min="4102" max="4107" width="5.5703125" bestFit="1" customWidth="1"/>
    <col min="4108" max="4108" width="8.42578125" customWidth="1"/>
    <col min="4109" max="4109" width="7.5703125" bestFit="1" customWidth="1"/>
    <col min="4110" max="4110" width="8.5703125" customWidth="1"/>
    <col min="4111" max="4112" width="7.5703125" bestFit="1" customWidth="1"/>
    <col min="4113" max="4115" width="8.5703125" bestFit="1" customWidth="1"/>
    <col min="4116" max="4119" width="7.5703125" bestFit="1" customWidth="1"/>
    <col min="4120" max="4120" width="6.5703125" bestFit="1" customWidth="1"/>
    <col min="4121" max="4124" width="5.5703125" bestFit="1" customWidth="1"/>
    <col min="4125" max="4129" width="14.5703125" bestFit="1" customWidth="1"/>
    <col min="4130" max="4130" width="13" bestFit="1" customWidth="1"/>
    <col min="4131" max="4134" width="6.5703125" bestFit="1" customWidth="1"/>
    <col min="4355" max="4355" width="6.85546875" customWidth="1"/>
    <col min="4356" max="4356" width="12.140625" bestFit="1" customWidth="1"/>
    <col min="4357" max="4357" width="7.42578125" customWidth="1"/>
    <col min="4358" max="4363" width="5.5703125" bestFit="1" customWidth="1"/>
    <col min="4364" max="4364" width="8.42578125" customWidth="1"/>
    <col min="4365" max="4365" width="7.5703125" bestFit="1" customWidth="1"/>
    <col min="4366" max="4366" width="8.5703125" customWidth="1"/>
    <col min="4367" max="4368" width="7.5703125" bestFit="1" customWidth="1"/>
    <col min="4369" max="4371" width="8.5703125" bestFit="1" customWidth="1"/>
    <col min="4372" max="4375" width="7.5703125" bestFit="1" customWidth="1"/>
    <col min="4376" max="4376" width="6.5703125" bestFit="1" customWidth="1"/>
    <col min="4377" max="4380" width="5.5703125" bestFit="1" customWidth="1"/>
    <col min="4381" max="4385" width="14.5703125" bestFit="1" customWidth="1"/>
    <col min="4386" max="4386" width="13" bestFit="1" customWidth="1"/>
    <col min="4387" max="4390" width="6.5703125" bestFit="1" customWidth="1"/>
    <col min="4611" max="4611" width="6.85546875" customWidth="1"/>
    <col min="4612" max="4612" width="12.140625" bestFit="1" customWidth="1"/>
    <col min="4613" max="4613" width="7.42578125" customWidth="1"/>
    <col min="4614" max="4619" width="5.5703125" bestFit="1" customWidth="1"/>
    <col min="4620" max="4620" width="8.42578125" customWidth="1"/>
    <col min="4621" max="4621" width="7.5703125" bestFit="1" customWidth="1"/>
    <col min="4622" max="4622" width="8.5703125" customWidth="1"/>
    <col min="4623" max="4624" width="7.5703125" bestFit="1" customWidth="1"/>
    <col min="4625" max="4627" width="8.5703125" bestFit="1" customWidth="1"/>
    <col min="4628" max="4631" width="7.5703125" bestFit="1" customWidth="1"/>
    <col min="4632" max="4632" width="6.5703125" bestFit="1" customWidth="1"/>
    <col min="4633" max="4636" width="5.5703125" bestFit="1" customWidth="1"/>
    <col min="4637" max="4641" width="14.5703125" bestFit="1" customWidth="1"/>
    <col min="4642" max="4642" width="13" bestFit="1" customWidth="1"/>
    <col min="4643" max="4646" width="6.5703125" bestFit="1" customWidth="1"/>
    <col min="4867" max="4867" width="6.85546875" customWidth="1"/>
    <col min="4868" max="4868" width="12.140625" bestFit="1" customWidth="1"/>
    <col min="4869" max="4869" width="7.42578125" customWidth="1"/>
    <col min="4870" max="4875" width="5.5703125" bestFit="1" customWidth="1"/>
    <col min="4876" max="4876" width="8.42578125" customWidth="1"/>
    <col min="4877" max="4877" width="7.5703125" bestFit="1" customWidth="1"/>
    <col min="4878" max="4878" width="8.5703125" customWidth="1"/>
    <col min="4879" max="4880" width="7.5703125" bestFit="1" customWidth="1"/>
    <col min="4881" max="4883" width="8.5703125" bestFit="1" customWidth="1"/>
    <col min="4884" max="4887" width="7.5703125" bestFit="1" customWidth="1"/>
    <col min="4888" max="4888" width="6.5703125" bestFit="1" customWidth="1"/>
    <col min="4889" max="4892" width="5.5703125" bestFit="1" customWidth="1"/>
    <col min="4893" max="4897" width="14.5703125" bestFit="1" customWidth="1"/>
    <col min="4898" max="4898" width="13" bestFit="1" customWidth="1"/>
    <col min="4899" max="4902" width="6.5703125" bestFit="1" customWidth="1"/>
    <col min="5123" max="5123" width="6.85546875" customWidth="1"/>
    <col min="5124" max="5124" width="12.140625" bestFit="1" customWidth="1"/>
    <col min="5125" max="5125" width="7.42578125" customWidth="1"/>
    <col min="5126" max="5131" width="5.5703125" bestFit="1" customWidth="1"/>
    <col min="5132" max="5132" width="8.42578125" customWidth="1"/>
    <col min="5133" max="5133" width="7.5703125" bestFit="1" customWidth="1"/>
    <col min="5134" max="5134" width="8.5703125" customWidth="1"/>
    <col min="5135" max="5136" width="7.5703125" bestFit="1" customWidth="1"/>
    <col min="5137" max="5139" width="8.5703125" bestFit="1" customWidth="1"/>
    <col min="5140" max="5143" width="7.5703125" bestFit="1" customWidth="1"/>
    <col min="5144" max="5144" width="6.5703125" bestFit="1" customWidth="1"/>
    <col min="5145" max="5148" width="5.5703125" bestFit="1" customWidth="1"/>
    <col min="5149" max="5153" width="14.5703125" bestFit="1" customWidth="1"/>
    <col min="5154" max="5154" width="13" bestFit="1" customWidth="1"/>
    <col min="5155" max="5158" width="6.5703125" bestFit="1" customWidth="1"/>
    <col min="5379" max="5379" width="6.85546875" customWidth="1"/>
    <col min="5380" max="5380" width="12.140625" bestFit="1" customWidth="1"/>
    <col min="5381" max="5381" width="7.42578125" customWidth="1"/>
    <col min="5382" max="5387" width="5.5703125" bestFit="1" customWidth="1"/>
    <col min="5388" max="5388" width="8.42578125" customWidth="1"/>
    <col min="5389" max="5389" width="7.5703125" bestFit="1" customWidth="1"/>
    <col min="5390" max="5390" width="8.5703125" customWidth="1"/>
    <col min="5391" max="5392" width="7.5703125" bestFit="1" customWidth="1"/>
    <col min="5393" max="5395" width="8.5703125" bestFit="1" customWidth="1"/>
    <col min="5396" max="5399" width="7.5703125" bestFit="1" customWidth="1"/>
    <col min="5400" max="5400" width="6.5703125" bestFit="1" customWidth="1"/>
    <col min="5401" max="5404" width="5.5703125" bestFit="1" customWidth="1"/>
    <col min="5405" max="5409" width="14.5703125" bestFit="1" customWidth="1"/>
    <col min="5410" max="5410" width="13" bestFit="1" customWidth="1"/>
    <col min="5411" max="5414" width="6.5703125" bestFit="1" customWidth="1"/>
    <col min="5635" max="5635" width="6.85546875" customWidth="1"/>
    <col min="5636" max="5636" width="12.140625" bestFit="1" customWidth="1"/>
    <col min="5637" max="5637" width="7.42578125" customWidth="1"/>
    <col min="5638" max="5643" width="5.5703125" bestFit="1" customWidth="1"/>
    <col min="5644" max="5644" width="8.42578125" customWidth="1"/>
    <col min="5645" max="5645" width="7.5703125" bestFit="1" customWidth="1"/>
    <col min="5646" max="5646" width="8.5703125" customWidth="1"/>
    <col min="5647" max="5648" width="7.5703125" bestFit="1" customWidth="1"/>
    <col min="5649" max="5651" width="8.5703125" bestFit="1" customWidth="1"/>
    <col min="5652" max="5655" width="7.5703125" bestFit="1" customWidth="1"/>
    <col min="5656" max="5656" width="6.5703125" bestFit="1" customWidth="1"/>
    <col min="5657" max="5660" width="5.5703125" bestFit="1" customWidth="1"/>
    <col min="5661" max="5665" width="14.5703125" bestFit="1" customWidth="1"/>
    <col min="5666" max="5666" width="13" bestFit="1" customWidth="1"/>
    <col min="5667" max="5670" width="6.5703125" bestFit="1" customWidth="1"/>
    <col min="5891" max="5891" width="6.85546875" customWidth="1"/>
    <col min="5892" max="5892" width="12.140625" bestFit="1" customWidth="1"/>
    <col min="5893" max="5893" width="7.42578125" customWidth="1"/>
    <col min="5894" max="5899" width="5.5703125" bestFit="1" customWidth="1"/>
    <col min="5900" max="5900" width="8.42578125" customWidth="1"/>
    <col min="5901" max="5901" width="7.5703125" bestFit="1" customWidth="1"/>
    <col min="5902" max="5902" width="8.5703125" customWidth="1"/>
    <col min="5903" max="5904" width="7.5703125" bestFit="1" customWidth="1"/>
    <col min="5905" max="5907" width="8.5703125" bestFit="1" customWidth="1"/>
    <col min="5908" max="5911" width="7.5703125" bestFit="1" customWidth="1"/>
    <col min="5912" max="5912" width="6.5703125" bestFit="1" customWidth="1"/>
    <col min="5913" max="5916" width="5.5703125" bestFit="1" customWidth="1"/>
    <col min="5917" max="5921" width="14.5703125" bestFit="1" customWidth="1"/>
    <col min="5922" max="5922" width="13" bestFit="1" customWidth="1"/>
    <col min="5923" max="5926" width="6.5703125" bestFit="1" customWidth="1"/>
    <col min="6147" max="6147" width="6.85546875" customWidth="1"/>
    <col min="6148" max="6148" width="12.140625" bestFit="1" customWidth="1"/>
    <col min="6149" max="6149" width="7.42578125" customWidth="1"/>
    <col min="6150" max="6155" width="5.5703125" bestFit="1" customWidth="1"/>
    <col min="6156" max="6156" width="8.42578125" customWidth="1"/>
    <col min="6157" max="6157" width="7.5703125" bestFit="1" customWidth="1"/>
    <col min="6158" max="6158" width="8.5703125" customWidth="1"/>
    <col min="6159" max="6160" width="7.5703125" bestFit="1" customWidth="1"/>
    <col min="6161" max="6163" width="8.5703125" bestFit="1" customWidth="1"/>
    <col min="6164" max="6167" width="7.5703125" bestFit="1" customWidth="1"/>
    <col min="6168" max="6168" width="6.5703125" bestFit="1" customWidth="1"/>
    <col min="6169" max="6172" width="5.5703125" bestFit="1" customWidth="1"/>
    <col min="6173" max="6177" width="14.5703125" bestFit="1" customWidth="1"/>
    <col min="6178" max="6178" width="13" bestFit="1" customWidth="1"/>
    <col min="6179" max="6182" width="6.5703125" bestFit="1" customWidth="1"/>
    <col min="6403" max="6403" width="6.85546875" customWidth="1"/>
    <col min="6404" max="6404" width="12.140625" bestFit="1" customWidth="1"/>
    <col min="6405" max="6405" width="7.42578125" customWidth="1"/>
    <col min="6406" max="6411" width="5.5703125" bestFit="1" customWidth="1"/>
    <col min="6412" max="6412" width="8.42578125" customWidth="1"/>
    <col min="6413" max="6413" width="7.5703125" bestFit="1" customWidth="1"/>
    <col min="6414" max="6414" width="8.5703125" customWidth="1"/>
    <col min="6415" max="6416" width="7.5703125" bestFit="1" customWidth="1"/>
    <col min="6417" max="6419" width="8.5703125" bestFit="1" customWidth="1"/>
    <col min="6420" max="6423" width="7.5703125" bestFit="1" customWidth="1"/>
    <col min="6424" max="6424" width="6.5703125" bestFit="1" customWidth="1"/>
    <col min="6425" max="6428" width="5.5703125" bestFit="1" customWidth="1"/>
    <col min="6429" max="6433" width="14.5703125" bestFit="1" customWidth="1"/>
    <col min="6434" max="6434" width="13" bestFit="1" customWidth="1"/>
    <col min="6435" max="6438" width="6.5703125" bestFit="1" customWidth="1"/>
    <col min="6659" max="6659" width="6.85546875" customWidth="1"/>
    <col min="6660" max="6660" width="12.140625" bestFit="1" customWidth="1"/>
    <col min="6661" max="6661" width="7.42578125" customWidth="1"/>
    <col min="6662" max="6667" width="5.5703125" bestFit="1" customWidth="1"/>
    <col min="6668" max="6668" width="8.42578125" customWidth="1"/>
    <col min="6669" max="6669" width="7.5703125" bestFit="1" customWidth="1"/>
    <col min="6670" max="6670" width="8.5703125" customWidth="1"/>
    <col min="6671" max="6672" width="7.5703125" bestFit="1" customWidth="1"/>
    <col min="6673" max="6675" width="8.5703125" bestFit="1" customWidth="1"/>
    <col min="6676" max="6679" width="7.5703125" bestFit="1" customWidth="1"/>
    <col min="6680" max="6680" width="6.5703125" bestFit="1" customWidth="1"/>
    <col min="6681" max="6684" width="5.5703125" bestFit="1" customWidth="1"/>
    <col min="6685" max="6689" width="14.5703125" bestFit="1" customWidth="1"/>
    <col min="6690" max="6690" width="13" bestFit="1" customWidth="1"/>
    <col min="6691" max="6694" width="6.5703125" bestFit="1" customWidth="1"/>
    <col min="6915" max="6915" width="6.85546875" customWidth="1"/>
    <col min="6916" max="6916" width="12.140625" bestFit="1" customWidth="1"/>
    <col min="6917" max="6917" width="7.42578125" customWidth="1"/>
    <col min="6918" max="6923" width="5.5703125" bestFit="1" customWidth="1"/>
    <col min="6924" max="6924" width="8.42578125" customWidth="1"/>
    <col min="6925" max="6925" width="7.5703125" bestFit="1" customWidth="1"/>
    <col min="6926" max="6926" width="8.5703125" customWidth="1"/>
    <col min="6927" max="6928" width="7.5703125" bestFit="1" customWidth="1"/>
    <col min="6929" max="6931" width="8.5703125" bestFit="1" customWidth="1"/>
    <col min="6932" max="6935" width="7.5703125" bestFit="1" customWidth="1"/>
    <col min="6936" max="6936" width="6.5703125" bestFit="1" customWidth="1"/>
    <col min="6937" max="6940" width="5.5703125" bestFit="1" customWidth="1"/>
    <col min="6941" max="6945" width="14.5703125" bestFit="1" customWidth="1"/>
    <col min="6946" max="6946" width="13" bestFit="1" customWidth="1"/>
    <col min="6947" max="6950" width="6.5703125" bestFit="1" customWidth="1"/>
    <col min="7171" max="7171" width="6.85546875" customWidth="1"/>
    <col min="7172" max="7172" width="12.140625" bestFit="1" customWidth="1"/>
    <col min="7173" max="7173" width="7.42578125" customWidth="1"/>
    <col min="7174" max="7179" width="5.5703125" bestFit="1" customWidth="1"/>
    <col min="7180" max="7180" width="8.42578125" customWidth="1"/>
    <col min="7181" max="7181" width="7.5703125" bestFit="1" customWidth="1"/>
    <col min="7182" max="7182" width="8.5703125" customWidth="1"/>
    <col min="7183" max="7184" width="7.5703125" bestFit="1" customWidth="1"/>
    <col min="7185" max="7187" width="8.5703125" bestFit="1" customWidth="1"/>
    <col min="7188" max="7191" width="7.5703125" bestFit="1" customWidth="1"/>
    <col min="7192" max="7192" width="6.5703125" bestFit="1" customWidth="1"/>
    <col min="7193" max="7196" width="5.5703125" bestFit="1" customWidth="1"/>
    <col min="7197" max="7201" width="14.5703125" bestFit="1" customWidth="1"/>
    <col min="7202" max="7202" width="13" bestFit="1" customWidth="1"/>
    <col min="7203" max="7206" width="6.5703125" bestFit="1" customWidth="1"/>
    <col min="7427" max="7427" width="6.85546875" customWidth="1"/>
    <col min="7428" max="7428" width="12.140625" bestFit="1" customWidth="1"/>
    <col min="7429" max="7429" width="7.42578125" customWidth="1"/>
    <col min="7430" max="7435" width="5.5703125" bestFit="1" customWidth="1"/>
    <col min="7436" max="7436" width="8.42578125" customWidth="1"/>
    <col min="7437" max="7437" width="7.5703125" bestFit="1" customWidth="1"/>
    <col min="7438" max="7438" width="8.5703125" customWidth="1"/>
    <col min="7439" max="7440" width="7.5703125" bestFit="1" customWidth="1"/>
    <col min="7441" max="7443" width="8.5703125" bestFit="1" customWidth="1"/>
    <col min="7444" max="7447" width="7.5703125" bestFit="1" customWidth="1"/>
    <col min="7448" max="7448" width="6.5703125" bestFit="1" customWidth="1"/>
    <col min="7449" max="7452" width="5.5703125" bestFit="1" customWidth="1"/>
    <col min="7453" max="7457" width="14.5703125" bestFit="1" customWidth="1"/>
    <col min="7458" max="7458" width="13" bestFit="1" customWidth="1"/>
    <col min="7459" max="7462" width="6.5703125" bestFit="1" customWidth="1"/>
    <col min="7683" max="7683" width="6.85546875" customWidth="1"/>
    <col min="7684" max="7684" width="12.140625" bestFit="1" customWidth="1"/>
    <col min="7685" max="7685" width="7.42578125" customWidth="1"/>
    <col min="7686" max="7691" width="5.5703125" bestFit="1" customWidth="1"/>
    <col min="7692" max="7692" width="8.42578125" customWidth="1"/>
    <col min="7693" max="7693" width="7.5703125" bestFit="1" customWidth="1"/>
    <col min="7694" max="7694" width="8.5703125" customWidth="1"/>
    <col min="7695" max="7696" width="7.5703125" bestFit="1" customWidth="1"/>
    <col min="7697" max="7699" width="8.5703125" bestFit="1" customWidth="1"/>
    <col min="7700" max="7703" width="7.5703125" bestFit="1" customWidth="1"/>
    <col min="7704" max="7704" width="6.5703125" bestFit="1" customWidth="1"/>
    <col min="7705" max="7708" width="5.5703125" bestFit="1" customWidth="1"/>
    <col min="7709" max="7713" width="14.5703125" bestFit="1" customWidth="1"/>
    <col min="7714" max="7714" width="13" bestFit="1" customWidth="1"/>
    <col min="7715" max="7718" width="6.5703125" bestFit="1" customWidth="1"/>
    <col min="7939" max="7939" width="6.85546875" customWidth="1"/>
    <col min="7940" max="7940" width="12.140625" bestFit="1" customWidth="1"/>
    <col min="7941" max="7941" width="7.42578125" customWidth="1"/>
    <col min="7942" max="7947" width="5.5703125" bestFit="1" customWidth="1"/>
    <col min="7948" max="7948" width="8.42578125" customWidth="1"/>
    <col min="7949" max="7949" width="7.5703125" bestFit="1" customWidth="1"/>
    <col min="7950" max="7950" width="8.5703125" customWidth="1"/>
    <col min="7951" max="7952" width="7.5703125" bestFit="1" customWidth="1"/>
    <col min="7953" max="7955" width="8.5703125" bestFit="1" customWidth="1"/>
    <col min="7956" max="7959" width="7.5703125" bestFit="1" customWidth="1"/>
    <col min="7960" max="7960" width="6.5703125" bestFit="1" customWidth="1"/>
    <col min="7961" max="7964" width="5.5703125" bestFit="1" customWidth="1"/>
    <col min="7965" max="7969" width="14.5703125" bestFit="1" customWidth="1"/>
    <col min="7970" max="7970" width="13" bestFit="1" customWidth="1"/>
    <col min="7971" max="7974" width="6.5703125" bestFit="1" customWidth="1"/>
    <col min="8195" max="8195" width="6.85546875" customWidth="1"/>
    <col min="8196" max="8196" width="12.140625" bestFit="1" customWidth="1"/>
    <col min="8197" max="8197" width="7.42578125" customWidth="1"/>
    <col min="8198" max="8203" width="5.5703125" bestFit="1" customWidth="1"/>
    <col min="8204" max="8204" width="8.42578125" customWidth="1"/>
    <col min="8205" max="8205" width="7.5703125" bestFit="1" customWidth="1"/>
    <col min="8206" max="8206" width="8.5703125" customWidth="1"/>
    <col min="8207" max="8208" width="7.5703125" bestFit="1" customWidth="1"/>
    <col min="8209" max="8211" width="8.5703125" bestFit="1" customWidth="1"/>
    <col min="8212" max="8215" width="7.5703125" bestFit="1" customWidth="1"/>
    <col min="8216" max="8216" width="6.5703125" bestFit="1" customWidth="1"/>
    <col min="8217" max="8220" width="5.5703125" bestFit="1" customWidth="1"/>
    <col min="8221" max="8225" width="14.5703125" bestFit="1" customWidth="1"/>
    <col min="8226" max="8226" width="13" bestFit="1" customWidth="1"/>
    <col min="8227" max="8230" width="6.5703125" bestFit="1" customWidth="1"/>
    <col min="8451" max="8451" width="6.85546875" customWidth="1"/>
    <col min="8452" max="8452" width="12.140625" bestFit="1" customWidth="1"/>
    <col min="8453" max="8453" width="7.42578125" customWidth="1"/>
    <col min="8454" max="8459" width="5.5703125" bestFit="1" customWidth="1"/>
    <col min="8460" max="8460" width="8.42578125" customWidth="1"/>
    <col min="8461" max="8461" width="7.5703125" bestFit="1" customWidth="1"/>
    <col min="8462" max="8462" width="8.5703125" customWidth="1"/>
    <col min="8463" max="8464" width="7.5703125" bestFit="1" customWidth="1"/>
    <col min="8465" max="8467" width="8.5703125" bestFit="1" customWidth="1"/>
    <col min="8468" max="8471" width="7.5703125" bestFit="1" customWidth="1"/>
    <col min="8472" max="8472" width="6.5703125" bestFit="1" customWidth="1"/>
    <col min="8473" max="8476" width="5.5703125" bestFit="1" customWidth="1"/>
    <col min="8477" max="8481" width="14.5703125" bestFit="1" customWidth="1"/>
    <col min="8482" max="8482" width="13" bestFit="1" customWidth="1"/>
    <col min="8483" max="8486" width="6.5703125" bestFit="1" customWidth="1"/>
    <col min="8707" max="8707" width="6.85546875" customWidth="1"/>
    <col min="8708" max="8708" width="12.140625" bestFit="1" customWidth="1"/>
    <col min="8709" max="8709" width="7.42578125" customWidth="1"/>
    <col min="8710" max="8715" width="5.5703125" bestFit="1" customWidth="1"/>
    <col min="8716" max="8716" width="8.42578125" customWidth="1"/>
    <col min="8717" max="8717" width="7.5703125" bestFit="1" customWidth="1"/>
    <col min="8718" max="8718" width="8.5703125" customWidth="1"/>
    <col min="8719" max="8720" width="7.5703125" bestFit="1" customWidth="1"/>
    <col min="8721" max="8723" width="8.5703125" bestFit="1" customWidth="1"/>
    <col min="8724" max="8727" width="7.5703125" bestFit="1" customWidth="1"/>
    <col min="8728" max="8728" width="6.5703125" bestFit="1" customWidth="1"/>
    <col min="8729" max="8732" width="5.5703125" bestFit="1" customWidth="1"/>
    <col min="8733" max="8737" width="14.5703125" bestFit="1" customWidth="1"/>
    <col min="8738" max="8738" width="13" bestFit="1" customWidth="1"/>
    <col min="8739" max="8742" width="6.5703125" bestFit="1" customWidth="1"/>
    <col min="8963" max="8963" width="6.85546875" customWidth="1"/>
    <col min="8964" max="8964" width="12.140625" bestFit="1" customWidth="1"/>
    <col min="8965" max="8965" width="7.42578125" customWidth="1"/>
    <col min="8966" max="8971" width="5.5703125" bestFit="1" customWidth="1"/>
    <col min="8972" max="8972" width="8.42578125" customWidth="1"/>
    <col min="8973" max="8973" width="7.5703125" bestFit="1" customWidth="1"/>
    <col min="8974" max="8974" width="8.5703125" customWidth="1"/>
    <col min="8975" max="8976" width="7.5703125" bestFit="1" customWidth="1"/>
    <col min="8977" max="8979" width="8.5703125" bestFit="1" customWidth="1"/>
    <col min="8980" max="8983" width="7.5703125" bestFit="1" customWidth="1"/>
    <col min="8984" max="8984" width="6.5703125" bestFit="1" customWidth="1"/>
    <col min="8985" max="8988" width="5.5703125" bestFit="1" customWidth="1"/>
    <col min="8989" max="8993" width="14.5703125" bestFit="1" customWidth="1"/>
    <col min="8994" max="8994" width="13" bestFit="1" customWidth="1"/>
    <col min="8995" max="8998" width="6.5703125" bestFit="1" customWidth="1"/>
    <col min="9219" max="9219" width="6.85546875" customWidth="1"/>
    <col min="9220" max="9220" width="12.140625" bestFit="1" customWidth="1"/>
    <col min="9221" max="9221" width="7.42578125" customWidth="1"/>
    <col min="9222" max="9227" width="5.5703125" bestFit="1" customWidth="1"/>
    <col min="9228" max="9228" width="8.42578125" customWidth="1"/>
    <col min="9229" max="9229" width="7.5703125" bestFit="1" customWidth="1"/>
    <col min="9230" max="9230" width="8.5703125" customWidth="1"/>
    <col min="9231" max="9232" width="7.5703125" bestFit="1" customWidth="1"/>
    <col min="9233" max="9235" width="8.5703125" bestFit="1" customWidth="1"/>
    <col min="9236" max="9239" width="7.5703125" bestFit="1" customWidth="1"/>
    <col min="9240" max="9240" width="6.5703125" bestFit="1" customWidth="1"/>
    <col min="9241" max="9244" width="5.5703125" bestFit="1" customWidth="1"/>
    <col min="9245" max="9249" width="14.5703125" bestFit="1" customWidth="1"/>
    <col min="9250" max="9250" width="13" bestFit="1" customWidth="1"/>
    <col min="9251" max="9254" width="6.5703125" bestFit="1" customWidth="1"/>
    <col min="9475" max="9475" width="6.85546875" customWidth="1"/>
    <col min="9476" max="9476" width="12.140625" bestFit="1" customWidth="1"/>
    <col min="9477" max="9477" width="7.42578125" customWidth="1"/>
    <col min="9478" max="9483" width="5.5703125" bestFit="1" customWidth="1"/>
    <col min="9484" max="9484" width="8.42578125" customWidth="1"/>
    <col min="9485" max="9485" width="7.5703125" bestFit="1" customWidth="1"/>
    <col min="9486" max="9486" width="8.5703125" customWidth="1"/>
    <col min="9487" max="9488" width="7.5703125" bestFit="1" customWidth="1"/>
    <col min="9489" max="9491" width="8.5703125" bestFit="1" customWidth="1"/>
    <col min="9492" max="9495" width="7.5703125" bestFit="1" customWidth="1"/>
    <col min="9496" max="9496" width="6.5703125" bestFit="1" customWidth="1"/>
    <col min="9497" max="9500" width="5.5703125" bestFit="1" customWidth="1"/>
    <col min="9501" max="9505" width="14.5703125" bestFit="1" customWidth="1"/>
    <col min="9506" max="9506" width="13" bestFit="1" customWidth="1"/>
    <col min="9507" max="9510" width="6.5703125" bestFit="1" customWidth="1"/>
    <col min="9731" max="9731" width="6.85546875" customWidth="1"/>
    <col min="9732" max="9732" width="12.140625" bestFit="1" customWidth="1"/>
    <col min="9733" max="9733" width="7.42578125" customWidth="1"/>
    <col min="9734" max="9739" width="5.5703125" bestFit="1" customWidth="1"/>
    <col min="9740" max="9740" width="8.42578125" customWidth="1"/>
    <col min="9741" max="9741" width="7.5703125" bestFit="1" customWidth="1"/>
    <col min="9742" max="9742" width="8.5703125" customWidth="1"/>
    <col min="9743" max="9744" width="7.5703125" bestFit="1" customWidth="1"/>
    <col min="9745" max="9747" width="8.5703125" bestFit="1" customWidth="1"/>
    <col min="9748" max="9751" width="7.5703125" bestFit="1" customWidth="1"/>
    <col min="9752" max="9752" width="6.5703125" bestFit="1" customWidth="1"/>
    <col min="9753" max="9756" width="5.5703125" bestFit="1" customWidth="1"/>
    <col min="9757" max="9761" width="14.5703125" bestFit="1" customWidth="1"/>
    <col min="9762" max="9762" width="13" bestFit="1" customWidth="1"/>
    <col min="9763" max="9766" width="6.5703125" bestFit="1" customWidth="1"/>
    <col min="9987" max="9987" width="6.85546875" customWidth="1"/>
    <col min="9988" max="9988" width="12.140625" bestFit="1" customWidth="1"/>
    <col min="9989" max="9989" width="7.42578125" customWidth="1"/>
    <col min="9990" max="9995" width="5.5703125" bestFit="1" customWidth="1"/>
    <col min="9996" max="9996" width="8.42578125" customWidth="1"/>
    <col min="9997" max="9997" width="7.5703125" bestFit="1" customWidth="1"/>
    <col min="9998" max="9998" width="8.5703125" customWidth="1"/>
    <col min="9999" max="10000" width="7.5703125" bestFit="1" customWidth="1"/>
    <col min="10001" max="10003" width="8.5703125" bestFit="1" customWidth="1"/>
    <col min="10004" max="10007" width="7.5703125" bestFit="1" customWidth="1"/>
    <col min="10008" max="10008" width="6.5703125" bestFit="1" customWidth="1"/>
    <col min="10009" max="10012" width="5.5703125" bestFit="1" customWidth="1"/>
    <col min="10013" max="10017" width="14.5703125" bestFit="1" customWidth="1"/>
    <col min="10018" max="10018" width="13" bestFit="1" customWidth="1"/>
    <col min="10019" max="10022" width="6.5703125" bestFit="1" customWidth="1"/>
    <col min="10243" max="10243" width="6.85546875" customWidth="1"/>
    <col min="10244" max="10244" width="12.140625" bestFit="1" customWidth="1"/>
    <col min="10245" max="10245" width="7.42578125" customWidth="1"/>
    <col min="10246" max="10251" width="5.5703125" bestFit="1" customWidth="1"/>
    <col min="10252" max="10252" width="8.42578125" customWidth="1"/>
    <col min="10253" max="10253" width="7.5703125" bestFit="1" customWidth="1"/>
    <col min="10254" max="10254" width="8.5703125" customWidth="1"/>
    <col min="10255" max="10256" width="7.5703125" bestFit="1" customWidth="1"/>
    <col min="10257" max="10259" width="8.5703125" bestFit="1" customWidth="1"/>
    <col min="10260" max="10263" width="7.5703125" bestFit="1" customWidth="1"/>
    <col min="10264" max="10264" width="6.5703125" bestFit="1" customWidth="1"/>
    <col min="10265" max="10268" width="5.5703125" bestFit="1" customWidth="1"/>
    <col min="10269" max="10273" width="14.5703125" bestFit="1" customWidth="1"/>
    <col min="10274" max="10274" width="13" bestFit="1" customWidth="1"/>
    <col min="10275" max="10278" width="6.5703125" bestFit="1" customWidth="1"/>
    <col min="10499" max="10499" width="6.85546875" customWidth="1"/>
    <col min="10500" max="10500" width="12.140625" bestFit="1" customWidth="1"/>
    <col min="10501" max="10501" width="7.42578125" customWidth="1"/>
    <col min="10502" max="10507" width="5.5703125" bestFit="1" customWidth="1"/>
    <col min="10508" max="10508" width="8.42578125" customWidth="1"/>
    <col min="10509" max="10509" width="7.5703125" bestFit="1" customWidth="1"/>
    <col min="10510" max="10510" width="8.5703125" customWidth="1"/>
    <col min="10511" max="10512" width="7.5703125" bestFit="1" customWidth="1"/>
    <col min="10513" max="10515" width="8.5703125" bestFit="1" customWidth="1"/>
    <col min="10516" max="10519" width="7.5703125" bestFit="1" customWidth="1"/>
    <col min="10520" max="10520" width="6.5703125" bestFit="1" customWidth="1"/>
    <col min="10521" max="10524" width="5.5703125" bestFit="1" customWidth="1"/>
    <col min="10525" max="10529" width="14.5703125" bestFit="1" customWidth="1"/>
    <col min="10530" max="10530" width="13" bestFit="1" customWidth="1"/>
    <col min="10531" max="10534" width="6.5703125" bestFit="1" customWidth="1"/>
    <col min="10755" max="10755" width="6.85546875" customWidth="1"/>
    <col min="10756" max="10756" width="12.140625" bestFit="1" customWidth="1"/>
    <col min="10757" max="10757" width="7.42578125" customWidth="1"/>
    <col min="10758" max="10763" width="5.5703125" bestFit="1" customWidth="1"/>
    <col min="10764" max="10764" width="8.42578125" customWidth="1"/>
    <col min="10765" max="10765" width="7.5703125" bestFit="1" customWidth="1"/>
    <col min="10766" max="10766" width="8.5703125" customWidth="1"/>
    <col min="10767" max="10768" width="7.5703125" bestFit="1" customWidth="1"/>
    <col min="10769" max="10771" width="8.5703125" bestFit="1" customWidth="1"/>
    <col min="10772" max="10775" width="7.5703125" bestFit="1" customWidth="1"/>
    <col min="10776" max="10776" width="6.5703125" bestFit="1" customWidth="1"/>
    <col min="10777" max="10780" width="5.5703125" bestFit="1" customWidth="1"/>
    <col min="10781" max="10785" width="14.5703125" bestFit="1" customWidth="1"/>
    <col min="10786" max="10786" width="13" bestFit="1" customWidth="1"/>
    <col min="10787" max="10790" width="6.5703125" bestFit="1" customWidth="1"/>
    <col min="11011" max="11011" width="6.85546875" customWidth="1"/>
    <col min="11012" max="11012" width="12.140625" bestFit="1" customWidth="1"/>
    <col min="11013" max="11013" width="7.42578125" customWidth="1"/>
    <col min="11014" max="11019" width="5.5703125" bestFit="1" customWidth="1"/>
    <col min="11020" max="11020" width="8.42578125" customWidth="1"/>
    <col min="11021" max="11021" width="7.5703125" bestFit="1" customWidth="1"/>
    <col min="11022" max="11022" width="8.5703125" customWidth="1"/>
    <col min="11023" max="11024" width="7.5703125" bestFit="1" customWidth="1"/>
    <col min="11025" max="11027" width="8.5703125" bestFit="1" customWidth="1"/>
    <col min="11028" max="11031" width="7.5703125" bestFit="1" customWidth="1"/>
    <col min="11032" max="11032" width="6.5703125" bestFit="1" customWidth="1"/>
    <col min="11033" max="11036" width="5.5703125" bestFit="1" customWidth="1"/>
    <col min="11037" max="11041" width="14.5703125" bestFit="1" customWidth="1"/>
    <col min="11042" max="11042" width="13" bestFit="1" customWidth="1"/>
    <col min="11043" max="11046" width="6.5703125" bestFit="1" customWidth="1"/>
    <col min="11267" max="11267" width="6.85546875" customWidth="1"/>
    <col min="11268" max="11268" width="12.140625" bestFit="1" customWidth="1"/>
    <col min="11269" max="11269" width="7.42578125" customWidth="1"/>
    <col min="11270" max="11275" width="5.5703125" bestFit="1" customWidth="1"/>
    <col min="11276" max="11276" width="8.42578125" customWidth="1"/>
    <col min="11277" max="11277" width="7.5703125" bestFit="1" customWidth="1"/>
    <col min="11278" max="11278" width="8.5703125" customWidth="1"/>
    <col min="11279" max="11280" width="7.5703125" bestFit="1" customWidth="1"/>
    <col min="11281" max="11283" width="8.5703125" bestFit="1" customWidth="1"/>
    <col min="11284" max="11287" width="7.5703125" bestFit="1" customWidth="1"/>
    <col min="11288" max="11288" width="6.5703125" bestFit="1" customWidth="1"/>
    <col min="11289" max="11292" width="5.5703125" bestFit="1" customWidth="1"/>
    <col min="11293" max="11297" width="14.5703125" bestFit="1" customWidth="1"/>
    <col min="11298" max="11298" width="13" bestFit="1" customWidth="1"/>
    <col min="11299" max="11302" width="6.5703125" bestFit="1" customWidth="1"/>
    <col min="11523" max="11523" width="6.85546875" customWidth="1"/>
    <col min="11524" max="11524" width="12.140625" bestFit="1" customWidth="1"/>
    <col min="11525" max="11525" width="7.42578125" customWidth="1"/>
    <col min="11526" max="11531" width="5.5703125" bestFit="1" customWidth="1"/>
    <col min="11532" max="11532" width="8.42578125" customWidth="1"/>
    <col min="11533" max="11533" width="7.5703125" bestFit="1" customWidth="1"/>
    <col min="11534" max="11534" width="8.5703125" customWidth="1"/>
    <col min="11535" max="11536" width="7.5703125" bestFit="1" customWidth="1"/>
    <col min="11537" max="11539" width="8.5703125" bestFit="1" customWidth="1"/>
    <col min="11540" max="11543" width="7.5703125" bestFit="1" customWidth="1"/>
    <col min="11544" max="11544" width="6.5703125" bestFit="1" customWidth="1"/>
    <col min="11545" max="11548" width="5.5703125" bestFit="1" customWidth="1"/>
    <col min="11549" max="11553" width="14.5703125" bestFit="1" customWidth="1"/>
    <col min="11554" max="11554" width="13" bestFit="1" customWidth="1"/>
    <col min="11555" max="11558" width="6.5703125" bestFit="1" customWidth="1"/>
    <col min="11779" max="11779" width="6.85546875" customWidth="1"/>
    <col min="11780" max="11780" width="12.140625" bestFit="1" customWidth="1"/>
    <col min="11781" max="11781" width="7.42578125" customWidth="1"/>
    <col min="11782" max="11787" width="5.5703125" bestFit="1" customWidth="1"/>
    <col min="11788" max="11788" width="8.42578125" customWidth="1"/>
    <col min="11789" max="11789" width="7.5703125" bestFit="1" customWidth="1"/>
    <col min="11790" max="11790" width="8.5703125" customWidth="1"/>
    <col min="11791" max="11792" width="7.5703125" bestFit="1" customWidth="1"/>
    <col min="11793" max="11795" width="8.5703125" bestFit="1" customWidth="1"/>
    <col min="11796" max="11799" width="7.5703125" bestFit="1" customWidth="1"/>
    <col min="11800" max="11800" width="6.5703125" bestFit="1" customWidth="1"/>
    <col min="11801" max="11804" width="5.5703125" bestFit="1" customWidth="1"/>
    <col min="11805" max="11809" width="14.5703125" bestFit="1" customWidth="1"/>
    <col min="11810" max="11810" width="13" bestFit="1" customWidth="1"/>
    <col min="11811" max="11814" width="6.5703125" bestFit="1" customWidth="1"/>
    <col min="12035" max="12035" width="6.85546875" customWidth="1"/>
    <col min="12036" max="12036" width="12.140625" bestFit="1" customWidth="1"/>
    <col min="12037" max="12037" width="7.42578125" customWidth="1"/>
    <col min="12038" max="12043" width="5.5703125" bestFit="1" customWidth="1"/>
    <col min="12044" max="12044" width="8.42578125" customWidth="1"/>
    <col min="12045" max="12045" width="7.5703125" bestFit="1" customWidth="1"/>
    <col min="12046" max="12046" width="8.5703125" customWidth="1"/>
    <col min="12047" max="12048" width="7.5703125" bestFit="1" customWidth="1"/>
    <col min="12049" max="12051" width="8.5703125" bestFit="1" customWidth="1"/>
    <col min="12052" max="12055" width="7.5703125" bestFit="1" customWidth="1"/>
    <col min="12056" max="12056" width="6.5703125" bestFit="1" customWidth="1"/>
    <col min="12057" max="12060" width="5.5703125" bestFit="1" customWidth="1"/>
    <col min="12061" max="12065" width="14.5703125" bestFit="1" customWidth="1"/>
    <col min="12066" max="12066" width="13" bestFit="1" customWidth="1"/>
    <col min="12067" max="12070" width="6.5703125" bestFit="1" customWidth="1"/>
    <col min="12291" max="12291" width="6.85546875" customWidth="1"/>
    <col min="12292" max="12292" width="12.140625" bestFit="1" customWidth="1"/>
    <col min="12293" max="12293" width="7.42578125" customWidth="1"/>
    <col min="12294" max="12299" width="5.5703125" bestFit="1" customWidth="1"/>
    <col min="12300" max="12300" width="8.42578125" customWidth="1"/>
    <col min="12301" max="12301" width="7.5703125" bestFit="1" customWidth="1"/>
    <col min="12302" max="12302" width="8.5703125" customWidth="1"/>
    <col min="12303" max="12304" width="7.5703125" bestFit="1" customWidth="1"/>
    <col min="12305" max="12307" width="8.5703125" bestFit="1" customWidth="1"/>
    <col min="12308" max="12311" width="7.5703125" bestFit="1" customWidth="1"/>
    <col min="12312" max="12312" width="6.5703125" bestFit="1" customWidth="1"/>
    <col min="12313" max="12316" width="5.5703125" bestFit="1" customWidth="1"/>
    <col min="12317" max="12321" width="14.5703125" bestFit="1" customWidth="1"/>
    <col min="12322" max="12322" width="13" bestFit="1" customWidth="1"/>
    <col min="12323" max="12326" width="6.5703125" bestFit="1" customWidth="1"/>
    <col min="12547" max="12547" width="6.85546875" customWidth="1"/>
    <col min="12548" max="12548" width="12.140625" bestFit="1" customWidth="1"/>
    <col min="12549" max="12549" width="7.42578125" customWidth="1"/>
    <col min="12550" max="12555" width="5.5703125" bestFit="1" customWidth="1"/>
    <col min="12556" max="12556" width="8.42578125" customWidth="1"/>
    <col min="12557" max="12557" width="7.5703125" bestFit="1" customWidth="1"/>
    <col min="12558" max="12558" width="8.5703125" customWidth="1"/>
    <col min="12559" max="12560" width="7.5703125" bestFit="1" customWidth="1"/>
    <col min="12561" max="12563" width="8.5703125" bestFit="1" customWidth="1"/>
    <col min="12564" max="12567" width="7.5703125" bestFit="1" customWidth="1"/>
    <col min="12568" max="12568" width="6.5703125" bestFit="1" customWidth="1"/>
    <col min="12569" max="12572" width="5.5703125" bestFit="1" customWidth="1"/>
    <col min="12573" max="12577" width="14.5703125" bestFit="1" customWidth="1"/>
    <col min="12578" max="12578" width="13" bestFit="1" customWidth="1"/>
    <col min="12579" max="12582" width="6.5703125" bestFit="1" customWidth="1"/>
    <col min="12803" max="12803" width="6.85546875" customWidth="1"/>
    <col min="12804" max="12804" width="12.140625" bestFit="1" customWidth="1"/>
    <col min="12805" max="12805" width="7.42578125" customWidth="1"/>
    <col min="12806" max="12811" width="5.5703125" bestFit="1" customWidth="1"/>
    <col min="12812" max="12812" width="8.42578125" customWidth="1"/>
    <col min="12813" max="12813" width="7.5703125" bestFit="1" customWidth="1"/>
    <col min="12814" max="12814" width="8.5703125" customWidth="1"/>
    <col min="12815" max="12816" width="7.5703125" bestFit="1" customWidth="1"/>
    <col min="12817" max="12819" width="8.5703125" bestFit="1" customWidth="1"/>
    <col min="12820" max="12823" width="7.5703125" bestFit="1" customWidth="1"/>
    <col min="12824" max="12824" width="6.5703125" bestFit="1" customWidth="1"/>
    <col min="12825" max="12828" width="5.5703125" bestFit="1" customWidth="1"/>
    <col min="12829" max="12833" width="14.5703125" bestFit="1" customWidth="1"/>
    <col min="12834" max="12834" width="13" bestFit="1" customWidth="1"/>
    <col min="12835" max="12838" width="6.5703125" bestFit="1" customWidth="1"/>
    <col min="13059" max="13059" width="6.85546875" customWidth="1"/>
    <col min="13060" max="13060" width="12.140625" bestFit="1" customWidth="1"/>
    <col min="13061" max="13061" width="7.42578125" customWidth="1"/>
    <col min="13062" max="13067" width="5.5703125" bestFit="1" customWidth="1"/>
    <col min="13068" max="13068" width="8.42578125" customWidth="1"/>
    <col min="13069" max="13069" width="7.5703125" bestFit="1" customWidth="1"/>
    <col min="13070" max="13070" width="8.5703125" customWidth="1"/>
    <col min="13071" max="13072" width="7.5703125" bestFit="1" customWidth="1"/>
    <col min="13073" max="13075" width="8.5703125" bestFit="1" customWidth="1"/>
    <col min="13076" max="13079" width="7.5703125" bestFit="1" customWidth="1"/>
    <col min="13080" max="13080" width="6.5703125" bestFit="1" customWidth="1"/>
    <col min="13081" max="13084" width="5.5703125" bestFit="1" customWidth="1"/>
    <col min="13085" max="13089" width="14.5703125" bestFit="1" customWidth="1"/>
    <col min="13090" max="13090" width="13" bestFit="1" customWidth="1"/>
    <col min="13091" max="13094" width="6.5703125" bestFit="1" customWidth="1"/>
    <col min="13315" max="13315" width="6.85546875" customWidth="1"/>
    <col min="13316" max="13316" width="12.140625" bestFit="1" customWidth="1"/>
    <col min="13317" max="13317" width="7.42578125" customWidth="1"/>
    <col min="13318" max="13323" width="5.5703125" bestFit="1" customWidth="1"/>
    <col min="13324" max="13324" width="8.42578125" customWidth="1"/>
    <col min="13325" max="13325" width="7.5703125" bestFit="1" customWidth="1"/>
    <col min="13326" max="13326" width="8.5703125" customWidth="1"/>
    <col min="13327" max="13328" width="7.5703125" bestFit="1" customWidth="1"/>
    <col min="13329" max="13331" width="8.5703125" bestFit="1" customWidth="1"/>
    <col min="13332" max="13335" width="7.5703125" bestFit="1" customWidth="1"/>
    <col min="13336" max="13336" width="6.5703125" bestFit="1" customWidth="1"/>
    <col min="13337" max="13340" width="5.5703125" bestFit="1" customWidth="1"/>
    <col min="13341" max="13345" width="14.5703125" bestFit="1" customWidth="1"/>
    <col min="13346" max="13346" width="13" bestFit="1" customWidth="1"/>
    <col min="13347" max="13350" width="6.5703125" bestFit="1" customWidth="1"/>
    <col min="13571" max="13571" width="6.85546875" customWidth="1"/>
    <col min="13572" max="13572" width="12.140625" bestFit="1" customWidth="1"/>
    <col min="13573" max="13573" width="7.42578125" customWidth="1"/>
    <col min="13574" max="13579" width="5.5703125" bestFit="1" customWidth="1"/>
    <col min="13580" max="13580" width="8.42578125" customWidth="1"/>
    <col min="13581" max="13581" width="7.5703125" bestFit="1" customWidth="1"/>
    <col min="13582" max="13582" width="8.5703125" customWidth="1"/>
    <col min="13583" max="13584" width="7.5703125" bestFit="1" customWidth="1"/>
    <col min="13585" max="13587" width="8.5703125" bestFit="1" customWidth="1"/>
    <col min="13588" max="13591" width="7.5703125" bestFit="1" customWidth="1"/>
    <col min="13592" max="13592" width="6.5703125" bestFit="1" customWidth="1"/>
    <col min="13593" max="13596" width="5.5703125" bestFit="1" customWidth="1"/>
    <col min="13597" max="13601" width="14.5703125" bestFit="1" customWidth="1"/>
    <col min="13602" max="13602" width="13" bestFit="1" customWidth="1"/>
    <col min="13603" max="13606" width="6.5703125" bestFit="1" customWidth="1"/>
    <col min="13827" max="13827" width="6.85546875" customWidth="1"/>
    <col min="13828" max="13828" width="12.140625" bestFit="1" customWidth="1"/>
    <col min="13829" max="13829" width="7.42578125" customWidth="1"/>
    <col min="13830" max="13835" width="5.5703125" bestFit="1" customWidth="1"/>
    <col min="13836" max="13836" width="8.42578125" customWidth="1"/>
    <col min="13837" max="13837" width="7.5703125" bestFit="1" customWidth="1"/>
    <col min="13838" max="13838" width="8.5703125" customWidth="1"/>
    <col min="13839" max="13840" width="7.5703125" bestFit="1" customWidth="1"/>
    <col min="13841" max="13843" width="8.5703125" bestFit="1" customWidth="1"/>
    <col min="13844" max="13847" width="7.5703125" bestFit="1" customWidth="1"/>
    <col min="13848" max="13848" width="6.5703125" bestFit="1" customWidth="1"/>
    <col min="13849" max="13852" width="5.5703125" bestFit="1" customWidth="1"/>
    <col min="13853" max="13857" width="14.5703125" bestFit="1" customWidth="1"/>
    <col min="13858" max="13858" width="13" bestFit="1" customWidth="1"/>
    <col min="13859" max="13862" width="6.5703125" bestFit="1" customWidth="1"/>
    <col min="14083" max="14083" width="6.85546875" customWidth="1"/>
    <col min="14084" max="14084" width="12.140625" bestFit="1" customWidth="1"/>
    <col min="14085" max="14085" width="7.42578125" customWidth="1"/>
    <col min="14086" max="14091" width="5.5703125" bestFit="1" customWidth="1"/>
    <col min="14092" max="14092" width="8.42578125" customWidth="1"/>
    <col min="14093" max="14093" width="7.5703125" bestFit="1" customWidth="1"/>
    <col min="14094" max="14094" width="8.5703125" customWidth="1"/>
    <col min="14095" max="14096" width="7.5703125" bestFit="1" customWidth="1"/>
    <col min="14097" max="14099" width="8.5703125" bestFit="1" customWidth="1"/>
    <col min="14100" max="14103" width="7.5703125" bestFit="1" customWidth="1"/>
    <col min="14104" max="14104" width="6.5703125" bestFit="1" customWidth="1"/>
    <col min="14105" max="14108" width="5.5703125" bestFit="1" customWidth="1"/>
    <col min="14109" max="14113" width="14.5703125" bestFit="1" customWidth="1"/>
    <col min="14114" max="14114" width="13" bestFit="1" customWidth="1"/>
    <col min="14115" max="14118" width="6.5703125" bestFit="1" customWidth="1"/>
    <col min="14339" max="14339" width="6.85546875" customWidth="1"/>
    <col min="14340" max="14340" width="12.140625" bestFit="1" customWidth="1"/>
    <col min="14341" max="14341" width="7.42578125" customWidth="1"/>
    <col min="14342" max="14347" width="5.5703125" bestFit="1" customWidth="1"/>
    <col min="14348" max="14348" width="8.42578125" customWidth="1"/>
    <col min="14349" max="14349" width="7.5703125" bestFit="1" customWidth="1"/>
    <col min="14350" max="14350" width="8.5703125" customWidth="1"/>
    <col min="14351" max="14352" width="7.5703125" bestFit="1" customWidth="1"/>
    <col min="14353" max="14355" width="8.5703125" bestFit="1" customWidth="1"/>
    <col min="14356" max="14359" width="7.5703125" bestFit="1" customWidth="1"/>
    <col min="14360" max="14360" width="6.5703125" bestFit="1" customWidth="1"/>
    <col min="14361" max="14364" width="5.5703125" bestFit="1" customWidth="1"/>
    <col min="14365" max="14369" width="14.5703125" bestFit="1" customWidth="1"/>
    <col min="14370" max="14370" width="13" bestFit="1" customWidth="1"/>
    <col min="14371" max="14374" width="6.5703125" bestFit="1" customWidth="1"/>
    <col min="14595" max="14595" width="6.85546875" customWidth="1"/>
    <col min="14596" max="14596" width="12.140625" bestFit="1" customWidth="1"/>
    <col min="14597" max="14597" width="7.42578125" customWidth="1"/>
    <col min="14598" max="14603" width="5.5703125" bestFit="1" customWidth="1"/>
    <col min="14604" max="14604" width="8.42578125" customWidth="1"/>
    <col min="14605" max="14605" width="7.5703125" bestFit="1" customWidth="1"/>
    <col min="14606" max="14606" width="8.5703125" customWidth="1"/>
    <col min="14607" max="14608" width="7.5703125" bestFit="1" customWidth="1"/>
    <col min="14609" max="14611" width="8.5703125" bestFit="1" customWidth="1"/>
    <col min="14612" max="14615" width="7.5703125" bestFit="1" customWidth="1"/>
    <col min="14616" max="14616" width="6.5703125" bestFit="1" customWidth="1"/>
    <col min="14617" max="14620" width="5.5703125" bestFit="1" customWidth="1"/>
    <col min="14621" max="14625" width="14.5703125" bestFit="1" customWidth="1"/>
    <col min="14626" max="14626" width="13" bestFit="1" customWidth="1"/>
    <col min="14627" max="14630" width="6.5703125" bestFit="1" customWidth="1"/>
    <col min="14851" max="14851" width="6.85546875" customWidth="1"/>
    <col min="14852" max="14852" width="12.140625" bestFit="1" customWidth="1"/>
    <col min="14853" max="14853" width="7.42578125" customWidth="1"/>
    <col min="14854" max="14859" width="5.5703125" bestFit="1" customWidth="1"/>
    <col min="14860" max="14860" width="8.42578125" customWidth="1"/>
    <col min="14861" max="14861" width="7.5703125" bestFit="1" customWidth="1"/>
    <col min="14862" max="14862" width="8.5703125" customWidth="1"/>
    <col min="14863" max="14864" width="7.5703125" bestFit="1" customWidth="1"/>
    <col min="14865" max="14867" width="8.5703125" bestFit="1" customWidth="1"/>
    <col min="14868" max="14871" width="7.5703125" bestFit="1" customWidth="1"/>
    <col min="14872" max="14872" width="6.5703125" bestFit="1" customWidth="1"/>
    <col min="14873" max="14876" width="5.5703125" bestFit="1" customWidth="1"/>
    <col min="14877" max="14881" width="14.5703125" bestFit="1" customWidth="1"/>
    <col min="14882" max="14882" width="13" bestFit="1" customWidth="1"/>
    <col min="14883" max="14886" width="6.5703125" bestFit="1" customWidth="1"/>
    <col min="15107" max="15107" width="6.85546875" customWidth="1"/>
    <col min="15108" max="15108" width="12.140625" bestFit="1" customWidth="1"/>
    <col min="15109" max="15109" width="7.42578125" customWidth="1"/>
    <col min="15110" max="15115" width="5.5703125" bestFit="1" customWidth="1"/>
    <col min="15116" max="15116" width="8.42578125" customWidth="1"/>
    <col min="15117" max="15117" width="7.5703125" bestFit="1" customWidth="1"/>
    <col min="15118" max="15118" width="8.5703125" customWidth="1"/>
    <col min="15119" max="15120" width="7.5703125" bestFit="1" customWidth="1"/>
    <col min="15121" max="15123" width="8.5703125" bestFit="1" customWidth="1"/>
    <col min="15124" max="15127" width="7.5703125" bestFit="1" customWidth="1"/>
    <col min="15128" max="15128" width="6.5703125" bestFit="1" customWidth="1"/>
    <col min="15129" max="15132" width="5.5703125" bestFit="1" customWidth="1"/>
    <col min="15133" max="15137" width="14.5703125" bestFit="1" customWidth="1"/>
    <col min="15138" max="15138" width="13" bestFit="1" customWidth="1"/>
    <col min="15139" max="15142" width="6.5703125" bestFit="1" customWidth="1"/>
    <col min="15363" max="15363" width="6.85546875" customWidth="1"/>
    <col min="15364" max="15364" width="12.140625" bestFit="1" customWidth="1"/>
    <col min="15365" max="15365" width="7.42578125" customWidth="1"/>
    <col min="15366" max="15371" width="5.5703125" bestFit="1" customWidth="1"/>
    <col min="15372" max="15372" width="8.42578125" customWidth="1"/>
    <col min="15373" max="15373" width="7.5703125" bestFit="1" customWidth="1"/>
    <col min="15374" max="15374" width="8.5703125" customWidth="1"/>
    <col min="15375" max="15376" width="7.5703125" bestFit="1" customWidth="1"/>
    <col min="15377" max="15379" width="8.5703125" bestFit="1" customWidth="1"/>
    <col min="15380" max="15383" width="7.5703125" bestFit="1" customWidth="1"/>
    <col min="15384" max="15384" width="6.5703125" bestFit="1" customWidth="1"/>
    <col min="15385" max="15388" width="5.5703125" bestFit="1" customWidth="1"/>
    <col min="15389" max="15393" width="14.5703125" bestFit="1" customWidth="1"/>
    <col min="15394" max="15394" width="13" bestFit="1" customWidth="1"/>
    <col min="15395" max="15398" width="6.5703125" bestFit="1" customWidth="1"/>
    <col min="15619" max="15619" width="6.85546875" customWidth="1"/>
    <col min="15620" max="15620" width="12.140625" bestFit="1" customWidth="1"/>
    <col min="15621" max="15621" width="7.42578125" customWidth="1"/>
    <col min="15622" max="15627" width="5.5703125" bestFit="1" customWidth="1"/>
    <col min="15628" max="15628" width="8.42578125" customWidth="1"/>
    <col min="15629" max="15629" width="7.5703125" bestFit="1" customWidth="1"/>
    <col min="15630" max="15630" width="8.5703125" customWidth="1"/>
    <col min="15631" max="15632" width="7.5703125" bestFit="1" customWidth="1"/>
    <col min="15633" max="15635" width="8.5703125" bestFit="1" customWidth="1"/>
    <col min="15636" max="15639" width="7.5703125" bestFit="1" customWidth="1"/>
    <col min="15640" max="15640" width="6.5703125" bestFit="1" customWidth="1"/>
    <col min="15641" max="15644" width="5.5703125" bestFit="1" customWidth="1"/>
    <col min="15645" max="15649" width="14.5703125" bestFit="1" customWidth="1"/>
    <col min="15650" max="15650" width="13" bestFit="1" customWidth="1"/>
    <col min="15651" max="15654" width="6.5703125" bestFit="1" customWidth="1"/>
    <col min="15875" max="15875" width="6.85546875" customWidth="1"/>
    <col min="15876" max="15876" width="12.140625" bestFit="1" customWidth="1"/>
    <col min="15877" max="15877" width="7.42578125" customWidth="1"/>
    <col min="15878" max="15883" width="5.5703125" bestFit="1" customWidth="1"/>
    <col min="15884" max="15884" width="8.42578125" customWidth="1"/>
    <col min="15885" max="15885" width="7.5703125" bestFit="1" customWidth="1"/>
    <col min="15886" max="15886" width="8.5703125" customWidth="1"/>
    <col min="15887" max="15888" width="7.5703125" bestFit="1" customWidth="1"/>
    <col min="15889" max="15891" width="8.5703125" bestFit="1" customWidth="1"/>
    <col min="15892" max="15895" width="7.5703125" bestFit="1" customWidth="1"/>
    <col min="15896" max="15896" width="6.5703125" bestFit="1" customWidth="1"/>
    <col min="15897" max="15900" width="5.5703125" bestFit="1" customWidth="1"/>
    <col min="15901" max="15905" width="14.5703125" bestFit="1" customWidth="1"/>
    <col min="15906" max="15906" width="13" bestFit="1" customWidth="1"/>
    <col min="15907" max="15910" width="6.5703125" bestFit="1" customWidth="1"/>
    <col min="16131" max="16131" width="6.85546875" customWidth="1"/>
    <col min="16132" max="16132" width="12.140625" bestFit="1" customWidth="1"/>
    <col min="16133" max="16133" width="7.42578125" customWidth="1"/>
    <col min="16134" max="16139" width="5.5703125" bestFit="1" customWidth="1"/>
    <col min="16140" max="16140" width="8.42578125" customWidth="1"/>
    <col min="16141" max="16141" width="7.5703125" bestFit="1" customWidth="1"/>
    <col min="16142" max="16142" width="8.5703125" customWidth="1"/>
    <col min="16143" max="16144" width="7.5703125" bestFit="1" customWidth="1"/>
    <col min="16145" max="16147" width="8.5703125" bestFit="1" customWidth="1"/>
    <col min="16148" max="16151" width="7.5703125" bestFit="1" customWidth="1"/>
    <col min="16152" max="16152" width="6.5703125" bestFit="1" customWidth="1"/>
    <col min="16153" max="16156" width="5.5703125" bestFit="1" customWidth="1"/>
    <col min="16157" max="16161" width="14.5703125" bestFit="1" customWidth="1"/>
    <col min="16162" max="16162" width="13" bestFit="1" customWidth="1"/>
    <col min="16163" max="16166" width="6.5703125" bestFit="1" customWidth="1"/>
  </cols>
  <sheetData>
    <row r="1" spans="1:29" ht="43.5" x14ac:dyDescent="0.45">
      <c r="B1" s="11" t="s">
        <v>26</v>
      </c>
      <c r="C1" s="13"/>
      <c r="D1" s="14"/>
      <c r="E1" s="14"/>
      <c r="F1" s="15"/>
      <c r="G1" s="14"/>
      <c r="H1" s="12"/>
      <c r="I1" s="12"/>
    </row>
    <row r="2" spans="1:29" ht="18.75" x14ac:dyDescent="0.3">
      <c r="B2" s="16" t="s">
        <v>27</v>
      </c>
    </row>
    <row r="4" spans="1:29" ht="15.75" customHeight="1" x14ac:dyDescent="0.25">
      <c r="A4" s="17" t="s">
        <v>28</v>
      </c>
      <c r="B4" s="31" t="s">
        <v>114</v>
      </c>
      <c r="C4" s="31"/>
    </row>
    <row r="5" spans="1:29" ht="15.75" x14ac:dyDescent="0.25">
      <c r="A5" s="17" t="s">
        <v>29</v>
      </c>
      <c r="B5" s="26">
        <v>2026</v>
      </c>
      <c r="C5" s="1"/>
      <c r="D5" s="1"/>
      <c r="E5" s="1"/>
      <c r="F5" s="1"/>
      <c r="G5" s="1"/>
      <c r="H5" s="1"/>
      <c r="I5" s="1"/>
      <c r="J5" s="1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9" x14ac:dyDescent="0.25"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9" ht="16.5" customHeight="1" x14ac:dyDescent="0.25">
      <c r="A7" s="32" t="s">
        <v>30</v>
      </c>
      <c r="B7" s="32"/>
      <c r="C7" s="32"/>
      <c r="D7" s="24">
        <v>8.4453169999999993</v>
      </c>
      <c r="F7" s="32" t="s">
        <v>32</v>
      </c>
      <c r="G7" s="32"/>
      <c r="H7" s="32"/>
      <c r="I7" s="32"/>
      <c r="J7" s="32"/>
      <c r="K7" s="32"/>
      <c r="L7" s="29" t="s">
        <v>200</v>
      </c>
      <c r="M7" s="29"/>
      <c r="N7" s="18" t="s">
        <v>0</v>
      </c>
      <c r="P7" s="32" t="s">
        <v>34</v>
      </c>
      <c r="Q7" s="32"/>
      <c r="R7" s="32"/>
      <c r="S7" s="29">
        <v>82</v>
      </c>
      <c r="T7" s="29"/>
      <c r="U7" s="19" t="s">
        <v>36</v>
      </c>
      <c r="V7" s="32" t="s">
        <v>79</v>
      </c>
      <c r="W7" s="32"/>
      <c r="X7" s="29" t="s">
        <v>198</v>
      </c>
      <c r="Y7" s="29"/>
      <c r="Z7" s="2"/>
      <c r="AA7" s="2"/>
      <c r="AB7" s="2"/>
      <c r="AC7" s="2"/>
    </row>
    <row r="8" spans="1:29" ht="15.75" customHeight="1" x14ac:dyDescent="0.25">
      <c r="A8" s="32" t="s">
        <v>31</v>
      </c>
      <c r="B8" s="32"/>
      <c r="C8" s="32"/>
      <c r="D8" s="24">
        <v>-82.840508200000002</v>
      </c>
      <c r="F8" s="32" t="s">
        <v>33</v>
      </c>
      <c r="G8" s="32"/>
      <c r="H8" s="32"/>
      <c r="I8" s="32"/>
      <c r="J8" s="32"/>
      <c r="K8" s="32"/>
      <c r="L8" s="30">
        <v>28672</v>
      </c>
      <c r="M8" s="30"/>
      <c r="N8" s="18" t="s">
        <v>1</v>
      </c>
      <c r="P8" s="32" t="s">
        <v>35</v>
      </c>
      <c r="Q8" s="32"/>
      <c r="R8" s="32"/>
      <c r="S8" s="30">
        <v>22.07</v>
      </c>
      <c r="T8" s="30"/>
      <c r="U8" s="19" t="s">
        <v>36</v>
      </c>
      <c r="V8" s="32" t="s">
        <v>80</v>
      </c>
      <c r="W8" s="32"/>
      <c r="X8" s="29" t="s">
        <v>199</v>
      </c>
      <c r="Y8" s="29"/>
      <c r="Z8" s="2"/>
      <c r="AA8" s="2"/>
      <c r="AB8" s="2"/>
      <c r="AC8" s="2"/>
    </row>
    <row r="9" spans="1:29" x14ac:dyDescent="0.25">
      <c r="C9" s="4"/>
      <c r="D9" s="4"/>
      <c r="E9" s="4"/>
      <c r="F9" s="2"/>
      <c r="G9" s="4"/>
      <c r="H9" s="4"/>
      <c r="I9" s="4"/>
      <c r="J9" s="4"/>
      <c r="K9" s="2"/>
      <c r="L9" s="2"/>
      <c r="M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9" ht="15.75" thickBot="1" x14ac:dyDescent="0.3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9" ht="15.75" x14ac:dyDescent="0.25">
      <c r="A11" s="21" t="s">
        <v>37</v>
      </c>
      <c r="B11" s="22" t="s">
        <v>2</v>
      </c>
      <c r="C11" s="22" t="s">
        <v>3</v>
      </c>
      <c r="D11" s="22" t="s">
        <v>4</v>
      </c>
      <c r="E11" s="22" t="s">
        <v>5</v>
      </c>
      <c r="F11" s="22" t="s">
        <v>6</v>
      </c>
      <c r="G11" s="22" t="s">
        <v>7</v>
      </c>
      <c r="H11" s="22" t="s">
        <v>8</v>
      </c>
      <c r="I11" s="22" t="s">
        <v>9</v>
      </c>
      <c r="J11" s="22" t="s">
        <v>10</v>
      </c>
      <c r="K11" s="22" t="s">
        <v>11</v>
      </c>
      <c r="L11" s="22" t="s">
        <v>12</v>
      </c>
      <c r="M11" s="22" t="s">
        <v>13</v>
      </c>
      <c r="N11" s="22" t="s">
        <v>14</v>
      </c>
      <c r="O11" s="22" t="s">
        <v>15</v>
      </c>
      <c r="P11" s="22" t="s">
        <v>16</v>
      </c>
      <c r="Q11" s="22" t="s">
        <v>17</v>
      </c>
      <c r="R11" s="22" t="s">
        <v>18</v>
      </c>
      <c r="S11" s="22" t="s">
        <v>19</v>
      </c>
      <c r="T11" s="22" t="s">
        <v>20</v>
      </c>
      <c r="U11" s="22" t="s">
        <v>21</v>
      </c>
      <c r="V11" s="22" t="s">
        <v>22</v>
      </c>
      <c r="W11" s="22" t="s">
        <v>23</v>
      </c>
      <c r="X11" s="22" t="s">
        <v>24</v>
      </c>
      <c r="Y11" s="23" t="s">
        <v>25</v>
      </c>
    </row>
    <row r="12" spans="1:29" ht="15" customHeight="1" x14ac:dyDescent="0.25">
      <c r="A12" s="27" t="str">
        <f>+CONCATENATE("01/01/",$B$5)</f>
        <v>01/01/2026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24.4</v>
      </c>
      <c r="H12" s="20">
        <v>41</v>
      </c>
      <c r="I12" s="20">
        <v>222.1</v>
      </c>
      <c r="J12" s="20">
        <v>840.4</v>
      </c>
      <c r="K12" s="20">
        <v>1396</v>
      </c>
      <c r="L12" s="20">
        <v>614.70000000000005</v>
      </c>
      <c r="M12" s="20">
        <v>1392.9</v>
      </c>
      <c r="N12" s="20">
        <v>839.8</v>
      </c>
      <c r="O12" s="20">
        <v>1395.9</v>
      </c>
      <c r="P12" s="20">
        <v>1087.4000000000001</v>
      </c>
      <c r="Q12" s="20">
        <v>800.7</v>
      </c>
      <c r="R12" s="20">
        <v>193.6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</row>
    <row r="13" spans="1:29" x14ac:dyDescent="0.25">
      <c r="A13" s="27">
        <f>+A12+1</f>
        <v>46024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23.3</v>
      </c>
      <c r="H13" s="20">
        <v>76.2</v>
      </c>
      <c r="I13" s="20">
        <v>119</v>
      </c>
      <c r="J13" s="20">
        <v>519.5</v>
      </c>
      <c r="K13" s="20">
        <v>725.7</v>
      </c>
      <c r="L13" s="20">
        <v>621.20000000000005</v>
      </c>
      <c r="M13" s="20">
        <v>612.29999999999995</v>
      </c>
      <c r="N13" s="20">
        <v>713.5</v>
      </c>
      <c r="O13" s="20">
        <v>694.5</v>
      </c>
      <c r="P13" s="20">
        <v>652.4</v>
      </c>
      <c r="Q13" s="20">
        <v>94.3</v>
      </c>
      <c r="R13" s="20">
        <v>117.7</v>
      </c>
      <c r="S13" s="20">
        <v>59.2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</row>
    <row r="14" spans="1:29" x14ac:dyDescent="0.25">
      <c r="A14" s="27">
        <f t="shared" ref="A14:A77" si="0">+A13+1</f>
        <v>46025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24</v>
      </c>
      <c r="H14" s="20">
        <v>49.2</v>
      </c>
      <c r="I14" s="20">
        <v>324.3</v>
      </c>
      <c r="J14" s="20">
        <v>319.89999999999998</v>
      </c>
      <c r="K14" s="20">
        <v>652.29999999999995</v>
      </c>
      <c r="L14" s="20">
        <v>1391</v>
      </c>
      <c r="M14" s="20">
        <v>1389.7</v>
      </c>
      <c r="N14" s="20">
        <v>1319.3</v>
      </c>
      <c r="O14" s="20">
        <v>389.6</v>
      </c>
      <c r="P14" s="20">
        <v>297</v>
      </c>
      <c r="Q14" s="20">
        <v>85.4</v>
      </c>
      <c r="R14" s="20">
        <v>92.2</v>
      </c>
      <c r="S14" s="20">
        <v>30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</row>
    <row r="15" spans="1:29" x14ac:dyDescent="0.25">
      <c r="A15" s="27">
        <f t="shared" si="0"/>
        <v>46026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44</v>
      </c>
      <c r="I15" s="20">
        <v>462.5</v>
      </c>
      <c r="J15" s="20">
        <v>830.2</v>
      </c>
      <c r="K15" s="20">
        <v>1174.0999999999999</v>
      </c>
      <c r="L15" s="20">
        <v>954.8</v>
      </c>
      <c r="M15" s="20">
        <v>1236.8</v>
      </c>
      <c r="N15" s="20">
        <v>1168.0999999999999</v>
      </c>
      <c r="O15" s="20">
        <v>1283.7</v>
      </c>
      <c r="P15" s="20">
        <v>922.8</v>
      </c>
      <c r="Q15" s="20">
        <v>124.3</v>
      </c>
      <c r="R15" s="20">
        <v>74.3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</row>
    <row r="16" spans="1:29" x14ac:dyDescent="0.25">
      <c r="A16" s="27">
        <f t="shared" si="0"/>
        <v>46027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24.1</v>
      </c>
      <c r="H16" s="20">
        <v>93.3</v>
      </c>
      <c r="I16" s="20">
        <v>339.6</v>
      </c>
      <c r="J16" s="20">
        <v>821.3</v>
      </c>
      <c r="K16" s="20">
        <v>260.5</v>
      </c>
      <c r="L16" s="20">
        <v>1180.5</v>
      </c>
      <c r="M16" s="20">
        <v>501.9</v>
      </c>
      <c r="N16" s="20">
        <v>471.3</v>
      </c>
      <c r="O16" s="20">
        <v>524.79999999999995</v>
      </c>
      <c r="P16" s="20">
        <v>1117.5</v>
      </c>
      <c r="Q16" s="20">
        <v>318.5</v>
      </c>
      <c r="R16" s="20">
        <v>88.4</v>
      </c>
      <c r="S16" s="20">
        <v>26.4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</row>
    <row r="17" spans="1:25" x14ac:dyDescent="0.25">
      <c r="A17" s="27">
        <f t="shared" si="0"/>
        <v>46028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72.099999999999994</v>
      </c>
      <c r="I17" s="20">
        <v>579.79999999999995</v>
      </c>
      <c r="J17" s="20">
        <v>378.3</v>
      </c>
      <c r="K17" s="20">
        <v>1157.0999999999999</v>
      </c>
      <c r="L17" s="20">
        <v>1310.8</v>
      </c>
      <c r="M17" s="20">
        <v>299.3</v>
      </c>
      <c r="N17" s="20">
        <v>259.89999999999998</v>
      </c>
      <c r="O17" s="20">
        <v>142.69999999999999</v>
      </c>
      <c r="P17" s="20">
        <v>1267.0999999999999</v>
      </c>
      <c r="Q17" s="20">
        <v>283.39999999999998</v>
      </c>
      <c r="R17" s="20">
        <v>68</v>
      </c>
      <c r="S17" s="20">
        <v>35.4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</row>
    <row r="18" spans="1:25" x14ac:dyDescent="0.25">
      <c r="A18" s="27">
        <f t="shared" si="0"/>
        <v>46029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72.2</v>
      </c>
      <c r="I18" s="20">
        <v>193.3</v>
      </c>
      <c r="J18" s="20">
        <v>776.5</v>
      </c>
      <c r="K18" s="20">
        <v>918.3</v>
      </c>
      <c r="L18" s="20">
        <v>425.9</v>
      </c>
      <c r="M18" s="20">
        <v>1276</v>
      </c>
      <c r="N18" s="20">
        <v>1383.7</v>
      </c>
      <c r="O18" s="20">
        <v>397.9</v>
      </c>
      <c r="P18" s="20">
        <v>409.3</v>
      </c>
      <c r="Q18" s="20">
        <v>442.1</v>
      </c>
      <c r="R18" s="20">
        <v>80.2</v>
      </c>
      <c r="S18" s="20">
        <v>54.3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</row>
    <row r="19" spans="1:25" x14ac:dyDescent="0.25">
      <c r="A19" s="27">
        <f t="shared" si="0"/>
        <v>46030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25.2</v>
      </c>
      <c r="H19" s="20">
        <v>111.3</v>
      </c>
      <c r="I19" s="20">
        <v>430.3</v>
      </c>
      <c r="J19" s="20">
        <v>755.4</v>
      </c>
      <c r="K19" s="20">
        <v>1059.2</v>
      </c>
      <c r="L19" s="20">
        <v>1274.0999999999999</v>
      </c>
      <c r="M19" s="20">
        <v>1388.7</v>
      </c>
      <c r="N19" s="20">
        <v>795.1</v>
      </c>
      <c r="O19" s="20">
        <v>399.4</v>
      </c>
      <c r="P19" s="20">
        <v>292.8</v>
      </c>
      <c r="Q19" s="20">
        <v>268.3</v>
      </c>
      <c r="R19" s="20">
        <v>187.6</v>
      </c>
      <c r="S19" s="20">
        <v>71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</row>
    <row r="20" spans="1:25" x14ac:dyDescent="0.25">
      <c r="A20" s="27">
        <f t="shared" si="0"/>
        <v>46031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25.6</v>
      </c>
      <c r="H20" s="20">
        <v>269</v>
      </c>
      <c r="I20" s="20">
        <v>636.20000000000005</v>
      </c>
      <c r="J20" s="20">
        <v>959.5</v>
      </c>
      <c r="K20" s="20">
        <v>1256.4000000000001</v>
      </c>
      <c r="L20" s="20">
        <v>1388.6</v>
      </c>
      <c r="M20" s="20">
        <v>238.6</v>
      </c>
      <c r="N20" s="20">
        <v>518.70000000000005</v>
      </c>
      <c r="O20" s="20">
        <v>437.3</v>
      </c>
      <c r="P20" s="20">
        <v>134.19999999999999</v>
      </c>
      <c r="Q20" s="20">
        <v>288.89999999999998</v>
      </c>
      <c r="R20" s="20">
        <v>69.5</v>
      </c>
      <c r="S20" s="20">
        <v>21.5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</row>
    <row r="21" spans="1:25" x14ac:dyDescent="0.25">
      <c r="A21" s="27">
        <f t="shared" si="0"/>
        <v>46032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25.7</v>
      </c>
      <c r="H21" s="20">
        <v>73.599999999999994</v>
      </c>
      <c r="I21" s="20">
        <v>415.3</v>
      </c>
      <c r="J21" s="20">
        <v>732</v>
      </c>
      <c r="K21" s="20">
        <v>1044.8</v>
      </c>
      <c r="L21" s="20">
        <v>1308</v>
      </c>
      <c r="M21" s="20">
        <v>1396</v>
      </c>
      <c r="N21" s="20">
        <v>1389.3</v>
      </c>
      <c r="O21" s="20">
        <v>395.8</v>
      </c>
      <c r="P21" s="20">
        <v>187.6</v>
      </c>
      <c r="Q21" s="20">
        <v>115.7</v>
      </c>
      <c r="R21" s="20">
        <v>71.900000000000006</v>
      </c>
      <c r="S21" s="20">
        <v>50.8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</row>
    <row r="22" spans="1:25" x14ac:dyDescent="0.25">
      <c r="A22" s="27">
        <f t="shared" si="0"/>
        <v>46033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24.9</v>
      </c>
      <c r="H22" s="20">
        <v>48.6</v>
      </c>
      <c r="I22" s="20">
        <v>233.7</v>
      </c>
      <c r="J22" s="20">
        <v>374.7</v>
      </c>
      <c r="K22" s="20">
        <v>701.5</v>
      </c>
      <c r="L22" s="20">
        <v>1133.0999999999999</v>
      </c>
      <c r="M22" s="20">
        <v>757.1</v>
      </c>
      <c r="N22" s="20">
        <v>866.9</v>
      </c>
      <c r="O22" s="20">
        <v>185.5</v>
      </c>
      <c r="P22" s="20">
        <v>409.9</v>
      </c>
      <c r="Q22" s="20">
        <v>376.5</v>
      </c>
      <c r="R22" s="20">
        <v>102.8</v>
      </c>
      <c r="S22" s="20">
        <v>47.5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</row>
    <row r="23" spans="1:25" x14ac:dyDescent="0.25">
      <c r="A23" s="27">
        <f t="shared" si="0"/>
        <v>46034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24</v>
      </c>
      <c r="H23" s="20">
        <v>55.4</v>
      </c>
      <c r="I23" s="20">
        <v>296</v>
      </c>
      <c r="J23" s="20">
        <v>761.6</v>
      </c>
      <c r="K23" s="20">
        <v>923.5</v>
      </c>
      <c r="L23" s="20">
        <v>1367</v>
      </c>
      <c r="M23" s="20">
        <v>1379</v>
      </c>
      <c r="N23" s="20">
        <v>405.2</v>
      </c>
      <c r="O23" s="20">
        <v>429</v>
      </c>
      <c r="P23" s="20">
        <v>131.1</v>
      </c>
      <c r="Q23" s="20">
        <v>208.6</v>
      </c>
      <c r="R23" s="20">
        <v>222.8</v>
      </c>
      <c r="S23" s="20">
        <v>51.1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</row>
    <row r="24" spans="1:25" x14ac:dyDescent="0.25">
      <c r="A24" s="27">
        <f t="shared" si="0"/>
        <v>46035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24.5</v>
      </c>
      <c r="H24" s="20">
        <v>110.7</v>
      </c>
      <c r="I24" s="20">
        <v>516.5</v>
      </c>
      <c r="J24" s="20">
        <v>378.9</v>
      </c>
      <c r="K24" s="20">
        <v>1166.5999999999999</v>
      </c>
      <c r="L24" s="20">
        <v>1148.9000000000001</v>
      </c>
      <c r="M24" s="20">
        <v>1340.4</v>
      </c>
      <c r="N24" s="20">
        <v>1389</v>
      </c>
      <c r="O24" s="20">
        <v>1377.2</v>
      </c>
      <c r="P24" s="20">
        <v>1124.9000000000001</v>
      </c>
      <c r="Q24" s="20">
        <v>146</v>
      </c>
      <c r="R24" s="20">
        <v>150.6</v>
      </c>
      <c r="S24" s="20">
        <v>67.7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</row>
    <row r="25" spans="1:25" x14ac:dyDescent="0.25">
      <c r="A25" s="27">
        <f t="shared" si="0"/>
        <v>46036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26.9</v>
      </c>
      <c r="H25" s="20">
        <v>95</v>
      </c>
      <c r="I25" s="20">
        <v>295.89999999999998</v>
      </c>
      <c r="J25" s="20">
        <v>641.1</v>
      </c>
      <c r="K25" s="20">
        <v>443.2</v>
      </c>
      <c r="L25" s="20">
        <v>866.1</v>
      </c>
      <c r="M25" s="20">
        <v>1384.3</v>
      </c>
      <c r="N25" s="20">
        <v>1368.3</v>
      </c>
      <c r="O25" s="20">
        <v>408.5</v>
      </c>
      <c r="P25" s="20">
        <v>375.4</v>
      </c>
      <c r="Q25" s="20">
        <v>301</v>
      </c>
      <c r="R25" s="20">
        <v>221.9</v>
      </c>
      <c r="S25" s="20">
        <v>94.4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</row>
    <row r="26" spans="1:25" x14ac:dyDescent="0.25">
      <c r="A26" s="27">
        <f t="shared" si="0"/>
        <v>46037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25.4</v>
      </c>
      <c r="H26" s="20">
        <v>56</v>
      </c>
      <c r="I26" s="20">
        <v>400.3</v>
      </c>
      <c r="J26" s="20">
        <v>297.3</v>
      </c>
      <c r="K26" s="20">
        <v>468.1</v>
      </c>
      <c r="L26" s="20">
        <v>1294.9000000000001</v>
      </c>
      <c r="M26" s="20">
        <v>1395.1</v>
      </c>
      <c r="N26" s="20">
        <v>477.8</v>
      </c>
      <c r="O26" s="20">
        <v>549.20000000000005</v>
      </c>
      <c r="P26" s="20">
        <v>590.9</v>
      </c>
      <c r="Q26" s="20">
        <v>332.1</v>
      </c>
      <c r="R26" s="20">
        <v>217.2</v>
      </c>
      <c r="S26" s="20">
        <v>42.8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</row>
    <row r="27" spans="1:25" x14ac:dyDescent="0.25">
      <c r="A27" s="27">
        <f t="shared" si="0"/>
        <v>46038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24.1</v>
      </c>
      <c r="H27" s="20">
        <v>43.1</v>
      </c>
      <c r="I27" s="20">
        <v>534.20000000000005</v>
      </c>
      <c r="J27" s="20">
        <v>633.6</v>
      </c>
      <c r="K27" s="20">
        <v>1206.4000000000001</v>
      </c>
      <c r="L27" s="20">
        <v>486.6</v>
      </c>
      <c r="M27" s="20">
        <v>1203.0999999999999</v>
      </c>
      <c r="N27" s="20">
        <v>764.8</v>
      </c>
      <c r="O27" s="20">
        <v>320.2</v>
      </c>
      <c r="P27" s="20">
        <v>324.8</v>
      </c>
      <c r="Q27" s="20">
        <v>131.19999999999999</v>
      </c>
      <c r="R27" s="20">
        <v>35.299999999999997</v>
      </c>
      <c r="S27" s="20">
        <v>32.6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</row>
    <row r="28" spans="1:25" x14ac:dyDescent="0.25">
      <c r="A28" s="27">
        <f t="shared" si="0"/>
        <v>46039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24.3</v>
      </c>
      <c r="H28" s="20">
        <v>47.7</v>
      </c>
      <c r="I28" s="20">
        <v>209.6</v>
      </c>
      <c r="J28" s="20">
        <v>782.2</v>
      </c>
      <c r="K28" s="20">
        <v>1032.4000000000001</v>
      </c>
      <c r="L28" s="20">
        <v>1243.4000000000001</v>
      </c>
      <c r="M28" s="20">
        <v>1395.3</v>
      </c>
      <c r="N28" s="20">
        <v>546.79999999999995</v>
      </c>
      <c r="O28" s="20">
        <v>851</v>
      </c>
      <c r="P28" s="20">
        <v>1096.5</v>
      </c>
      <c r="Q28" s="20">
        <v>863.7</v>
      </c>
      <c r="R28" s="20">
        <v>248.5</v>
      </c>
      <c r="S28" s="20">
        <v>95.1</v>
      </c>
      <c r="T28" s="20">
        <v>19.7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</row>
    <row r="29" spans="1:25" x14ac:dyDescent="0.25">
      <c r="A29" s="27">
        <f t="shared" si="0"/>
        <v>46040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24.4</v>
      </c>
      <c r="H29" s="20">
        <v>78.2</v>
      </c>
      <c r="I29" s="20">
        <v>378.7</v>
      </c>
      <c r="J29" s="20">
        <v>732.9</v>
      </c>
      <c r="K29" s="20">
        <v>1044</v>
      </c>
      <c r="L29" s="20">
        <v>1368.5</v>
      </c>
      <c r="M29" s="20">
        <v>1366.7</v>
      </c>
      <c r="N29" s="20">
        <v>413.7</v>
      </c>
      <c r="O29" s="20">
        <v>493.2</v>
      </c>
      <c r="P29" s="20">
        <v>1316.6</v>
      </c>
      <c r="Q29" s="20">
        <v>251.2</v>
      </c>
      <c r="R29" s="20">
        <v>450</v>
      </c>
      <c r="S29" s="20">
        <v>41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</row>
    <row r="30" spans="1:25" x14ac:dyDescent="0.25">
      <c r="A30" s="27">
        <f t="shared" si="0"/>
        <v>46041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23.9</v>
      </c>
      <c r="H30" s="20">
        <v>34.1</v>
      </c>
      <c r="I30" s="20">
        <v>400.1</v>
      </c>
      <c r="J30" s="20">
        <v>738.6</v>
      </c>
      <c r="K30" s="20">
        <v>1163.8</v>
      </c>
      <c r="L30" s="20">
        <v>1023.1</v>
      </c>
      <c r="M30" s="20">
        <v>1298.8</v>
      </c>
      <c r="N30" s="20">
        <v>865.1</v>
      </c>
      <c r="O30" s="20">
        <v>693.9</v>
      </c>
      <c r="P30" s="20">
        <v>804.1</v>
      </c>
      <c r="Q30" s="20">
        <v>500.4</v>
      </c>
      <c r="R30" s="20">
        <v>90.2</v>
      </c>
      <c r="S30" s="20">
        <v>33.5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</row>
    <row r="31" spans="1:25" x14ac:dyDescent="0.25">
      <c r="A31" s="27">
        <f t="shared" si="0"/>
        <v>46042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24.1</v>
      </c>
      <c r="H31" s="20">
        <v>64.5</v>
      </c>
      <c r="I31" s="20">
        <v>172.8</v>
      </c>
      <c r="J31" s="20">
        <v>782.3</v>
      </c>
      <c r="K31" s="20">
        <v>487.6</v>
      </c>
      <c r="L31" s="20">
        <v>940.1</v>
      </c>
      <c r="M31" s="20">
        <v>1363.6</v>
      </c>
      <c r="N31" s="20">
        <v>667.9</v>
      </c>
      <c r="O31" s="20">
        <v>1219.9000000000001</v>
      </c>
      <c r="P31" s="20">
        <v>332.4</v>
      </c>
      <c r="Q31" s="20">
        <v>176.9</v>
      </c>
      <c r="R31" s="20">
        <v>158.4</v>
      </c>
      <c r="S31" s="20">
        <v>53.1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</row>
    <row r="32" spans="1:25" x14ac:dyDescent="0.25">
      <c r="A32" s="27">
        <f t="shared" si="0"/>
        <v>46043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76</v>
      </c>
      <c r="I32" s="20">
        <v>399.9</v>
      </c>
      <c r="J32" s="20">
        <v>724.5</v>
      </c>
      <c r="K32" s="20">
        <v>1120</v>
      </c>
      <c r="L32" s="20">
        <v>1086.2</v>
      </c>
      <c r="M32" s="20">
        <v>345.6</v>
      </c>
      <c r="N32" s="20">
        <v>1387.7</v>
      </c>
      <c r="O32" s="20">
        <v>354</v>
      </c>
      <c r="P32" s="20">
        <v>394.7</v>
      </c>
      <c r="Q32" s="20">
        <v>271.10000000000002</v>
      </c>
      <c r="R32" s="20">
        <v>138.5</v>
      </c>
      <c r="S32" s="20">
        <v>23.4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</row>
    <row r="33" spans="1:35" x14ac:dyDescent="0.25">
      <c r="A33" s="27">
        <f t="shared" si="0"/>
        <v>46044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57.9</v>
      </c>
      <c r="I33" s="20">
        <v>441.6</v>
      </c>
      <c r="J33" s="20">
        <v>761</v>
      </c>
      <c r="K33" s="20">
        <v>1154.3</v>
      </c>
      <c r="L33" s="20">
        <v>420</v>
      </c>
      <c r="M33" s="20">
        <v>1264.7</v>
      </c>
      <c r="N33" s="20">
        <v>646.9</v>
      </c>
      <c r="O33" s="20">
        <v>683.4</v>
      </c>
      <c r="P33" s="20">
        <v>1182.0999999999999</v>
      </c>
      <c r="Q33" s="20">
        <v>658</v>
      </c>
      <c r="R33" s="20">
        <v>179.6</v>
      </c>
      <c r="S33" s="20">
        <v>38.700000000000003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</row>
    <row r="34" spans="1:35" x14ac:dyDescent="0.25">
      <c r="A34" s="27">
        <f t="shared" si="0"/>
        <v>46045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83.1</v>
      </c>
      <c r="I34" s="20">
        <v>327.39999999999998</v>
      </c>
      <c r="J34" s="20">
        <v>765.9</v>
      </c>
      <c r="K34" s="20">
        <v>1054.4000000000001</v>
      </c>
      <c r="L34" s="20">
        <v>1347</v>
      </c>
      <c r="M34" s="20">
        <v>1395.9</v>
      </c>
      <c r="N34" s="20">
        <v>1372.9</v>
      </c>
      <c r="O34" s="20">
        <v>1017.7</v>
      </c>
      <c r="P34" s="20">
        <v>503.7</v>
      </c>
      <c r="Q34" s="20">
        <v>89.6</v>
      </c>
      <c r="R34" s="20">
        <v>68</v>
      </c>
      <c r="S34" s="20">
        <v>33.700000000000003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</row>
    <row r="35" spans="1:35" x14ac:dyDescent="0.25">
      <c r="A35" s="27">
        <f t="shared" si="0"/>
        <v>46046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26.4</v>
      </c>
      <c r="H35" s="20">
        <v>78.7</v>
      </c>
      <c r="I35" s="20">
        <v>425.6</v>
      </c>
      <c r="J35" s="20">
        <v>768.1</v>
      </c>
      <c r="K35" s="20">
        <v>1021.5</v>
      </c>
      <c r="L35" s="20">
        <v>1309.5999999999999</v>
      </c>
      <c r="M35" s="20">
        <v>1393.1</v>
      </c>
      <c r="N35" s="20">
        <v>331.6</v>
      </c>
      <c r="O35" s="20">
        <v>1351.8</v>
      </c>
      <c r="P35" s="20">
        <v>1140.8</v>
      </c>
      <c r="Q35" s="20">
        <v>785.2</v>
      </c>
      <c r="R35" s="20">
        <v>234.3</v>
      </c>
      <c r="S35" s="20">
        <v>112.7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</row>
    <row r="36" spans="1:35" x14ac:dyDescent="0.25">
      <c r="A36" s="27">
        <f t="shared" si="0"/>
        <v>46047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25.6</v>
      </c>
      <c r="H36" s="20">
        <v>55.3</v>
      </c>
      <c r="I36" s="20">
        <v>371.4</v>
      </c>
      <c r="J36" s="20">
        <v>727</v>
      </c>
      <c r="K36" s="20">
        <v>881.2</v>
      </c>
      <c r="L36" s="20">
        <v>1347.7</v>
      </c>
      <c r="M36" s="20">
        <v>1395.7</v>
      </c>
      <c r="N36" s="20">
        <v>1160.7</v>
      </c>
      <c r="O36" s="20">
        <v>1395.2</v>
      </c>
      <c r="P36" s="20">
        <v>729.7</v>
      </c>
      <c r="Q36" s="20">
        <v>859.2</v>
      </c>
      <c r="R36" s="20">
        <v>509.4</v>
      </c>
      <c r="S36" s="20">
        <v>92.1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</row>
    <row r="37" spans="1:35" x14ac:dyDescent="0.25">
      <c r="A37" s="27">
        <f t="shared" si="0"/>
        <v>46048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26.5</v>
      </c>
      <c r="H37" s="20">
        <v>67.3</v>
      </c>
      <c r="I37" s="20">
        <v>291.10000000000002</v>
      </c>
      <c r="J37" s="20">
        <v>742.2</v>
      </c>
      <c r="K37" s="20">
        <v>1064</v>
      </c>
      <c r="L37" s="20">
        <v>1336.4</v>
      </c>
      <c r="M37" s="20">
        <v>345.1</v>
      </c>
      <c r="N37" s="20">
        <v>1396</v>
      </c>
      <c r="O37" s="20">
        <v>433.9</v>
      </c>
      <c r="P37" s="20">
        <v>256</v>
      </c>
      <c r="Q37" s="20">
        <v>112.3</v>
      </c>
      <c r="R37" s="20">
        <v>95</v>
      </c>
      <c r="S37" s="20">
        <v>108.2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</row>
    <row r="38" spans="1:35" x14ac:dyDescent="0.25">
      <c r="A38" s="27">
        <f t="shared" si="0"/>
        <v>46049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25.9</v>
      </c>
      <c r="H38" s="20">
        <v>77.8</v>
      </c>
      <c r="I38" s="20">
        <v>398.8</v>
      </c>
      <c r="J38" s="20">
        <v>751</v>
      </c>
      <c r="K38" s="20">
        <v>1047.3</v>
      </c>
      <c r="L38" s="20">
        <v>1268.3</v>
      </c>
      <c r="M38" s="20">
        <v>1374.2</v>
      </c>
      <c r="N38" s="20">
        <v>1355.4</v>
      </c>
      <c r="O38" s="20">
        <v>1324.1</v>
      </c>
      <c r="P38" s="20">
        <v>1212.5999999999999</v>
      </c>
      <c r="Q38" s="20">
        <v>358.1</v>
      </c>
      <c r="R38" s="20">
        <v>206.6</v>
      </c>
      <c r="S38" s="20">
        <v>57.9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</row>
    <row r="39" spans="1:35" x14ac:dyDescent="0.25">
      <c r="A39" s="27">
        <f t="shared" si="0"/>
        <v>46050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27.2</v>
      </c>
      <c r="H39" s="20">
        <v>57</v>
      </c>
      <c r="I39" s="20">
        <v>390.2</v>
      </c>
      <c r="J39" s="20">
        <v>731.7</v>
      </c>
      <c r="K39" s="20">
        <v>1047.0999999999999</v>
      </c>
      <c r="L39" s="20">
        <v>1238.2</v>
      </c>
      <c r="M39" s="20"/>
      <c r="N39" s="20">
        <v>1382.5</v>
      </c>
      <c r="O39" s="20">
        <v>1330.1</v>
      </c>
      <c r="P39" s="20">
        <v>1106.0999999999999</v>
      </c>
      <c r="Q39" s="20">
        <v>868.9</v>
      </c>
      <c r="R39" s="20">
        <v>551.20000000000005</v>
      </c>
      <c r="S39" s="20">
        <v>99.3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</row>
    <row r="40" spans="1:35" x14ac:dyDescent="0.25">
      <c r="A40" s="27">
        <f t="shared" si="0"/>
        <v>46051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71.400000000000006</v>
      </c>
      <c r="I40" s="20">
        <v>380.1</v>
      </c>
      <c r="J40" s="20">
        <v>740.7</v>
      </c>
      <c r="K40" s="20">
        <v>1057.4000000000001</v>
      </c>
      <c r="L40" s="20">
        <v>1371.8</v>
      </c>
      <c r="M40" s="20">
        <v>0</v>
      </c>
      <c r="N40" s="20">
        <v>1394.2</v>
      </c>
      <c r="O40" s="20">
        <v>1373.7</v>
      </c>
      <c r="P40" s="20">
        <v>358.8</v>
      </c>
      <c r="Q40" s="20">
        <v>921.1</v>
      </c>
      <c r="R40" s="20">
        <v>209</v>
      </c>
      <c r="S40" s="20">
        <v>52.6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</row>
    <row r="41" spans="1:35" x14ac:dyDescent="0.25">
      <c r="A41" s="27">
        <f t="shared" si="0"/>
        <v>46052</v>
      </c>
      <c r="B41" s="20">
        <v>0</v>
      </c>
      <c r="C41" s="20">
        <v>0</v>
      </c>
      <c r="D41" s="20">
        <v>0</v>
      </c>
      <c r="E41" s="20">
        <v>0</v>
      </c>
      <c r="F41" s="20">
        <v>0</v>
      </c>
      <c r="G41" s="20">
        <v>25.1</v>
      </c>
      <c r="H41" s="20">
        <v>63.3</v>
      </c>
      <c r="I41" s="20">
        <v>386.2</v>
      </c>
      <c r="J41" s="20">
        <v>709.4</v>
      </c>
      <c r="K41" s="20">
        <v>1051.2</v>
      </c>
      <c r="L41" s="20">
        <v>1283.0999999999999</v>
      </c>
      <c r="M41" s="20">
        <v>1376.8</v>
      </c>
      <c r="N41" s="20">
        <v>1379</v>
      </c>
      <c r="O41" s="20">
        <v>1354.9</v>
      </c>
      <c r="P41" s="20">
        <v>1128.5</v>
      </c>
      <c r="Q41" s="20">
        <v>866.3</v>
      </c>
      <c r="R41" s="20">
        <v>505.9</v>
      </c>
      <c r="S41" s="20">
        <v>128.80000000000001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</row>
    <row r="42" spans="1:35" x14ac:dyDescent="0.25">
      <c r="A42" s="27">
        <f t="shared" si="0"/>
        <v>46053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71</v>
      </c>
      <c r="I42" s="20">
        <v>364</v>
      </c>
      <c r="J42" s="20">
        <v>740.7</v>
      </c>
      <c r="K42" s="20">
        <v>936.8</v>
      </c>
      <c r="L42" s="20">
        <v>1280.4000000000001</v>
      </c>
      <c r="M42" s="20">
        <v>411.5</v>
      </c>
      <c r="N42" s="20">
        <v>379.3</v>
      </c>
      <c r="O42" s="20">
        <v>1296.0999999999999</v>
      </c>
      <c r="P42" s="20">
        <v>548</v>
      </c>
      <c r="Q42" s="20">
        <v>249.4</v>
      </c>
      <c r="R42" s="20">
        <v>304.5</v>
      </c>
      <c r="S42" s="20">
        <v>67.3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</row>
    <row r="43" spans="1:35" ht="15" customHeight="1" x14ac:dyDescent="0.25">
      <c r="A43" s="27">
        <f t="shared" si="0"/>
        <v>46054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25.6</v>
      </c>
      <c r="I43" s="20">
        <v>35.200000000000003</v>
      </c>
      <c r="J43" s="20">
        <v>156.6</v>
      </c>
      <c r="K43" s="20">
        <v>731.9</v>
      </c>
      <c r="L43" s="20">
        <v>1047.4000000000001</v>
      </c>
      <c r="M43" s="20">
        <v>929.8</v>
      </c>
      <c r="N43" s="20">
        <v>586.29999999999995</v>
      </c>
      <c r="O43" s="20">
        <v>1322.4</v>
      </c>
      <c r="P43" s="20">
        <v>633.4</v>
      </c>
      <c r="Q43" s="20">
        <v>1162.5999999999999</v>
      </c>
      <c r="R43" s="20">
        <v>597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5"/>
      <c r="AA43" s="25"/>
      <c r="AB43" s="25"/>
      <c r="AC43" s="25"/>
      <c r="AD43" s="25"/>
      <c r="AE43" s="25"/>
      <c r="AF43" s="25"/>
      <c r="AG43" s="25"/>
      <c r="AH43" s="25"/>
      <c r="AI43" s="25"/>
    </row>
    <row r="44" spans="1:35" x14ac:dyDescent="0.25">
      <c r="A44" s="27">
        <f t="shared" si="0"/>
        <v>46055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24.5</v>
      </c>
      <c r="H44" s="20">
        <v>37.1</v>
      </c>
      <c r="I44" s="20">
        <v>160.80000000000001</v>
      </c>
      <c r="J44" s="20">
        <v>315.39999999999998</v>
      </c>
      <c r="K44" s="20">
        <v>650.20000000000005</v>
      </c>
      <c r="L44" s="20">
        <v>626.9</v>
      </c>
      <c r="M44" s="20">
        <v>930.1</v>
      </c>
      <c r="N44" s="20">
        <v>848.9</v>
      </c>
      <c r="O44" s="20">
        <v>1394.1</v>
      </c>
      <c r="P44" s="20">
        <v>1262.2</v>
      </c>
      <c r="Q44" s="20">
        <v>933.6</v>
      </c>
      <c r="R44" s="20">
        <v>556</v>
      </c>
      <c r="S44" s="20">
        <v>125.9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</row>
    <row r="45" spans="1:35" x14ac:dyDescent="0.25">
      <c r="A45" s="27">
        <f t="shared" si="0"/>
        <v>46056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25.3</v>
      </c>
      <c r="H45" s="20">
        <v>83.6</v>
      </c>
      <c r="I45" s="20">
        <v>368.3</v>
      </c>
      <c r="J45" s="20">
        <v>749.1</v>
      </c>
      <c r="K45" s="20">
        <v>1092.3</v>
      </c>
      <c r="L45" s="20">
        <v>1177.8</v>
      </c>
      <c r="M45" s="20">
        <v>1395.9</v>
      </c>
      <c r="N45" s="20">
        <v>996.1</v>
      </c>
      <c r="O45" s="20">
        <v>681.7</v>
      </c>
      <c r="P45" s="20">
        <v>471.9</v>
      </c>
      <c r="Q45" s="20">
        <v>266.7</v>
      </c>
      <c r="R45" s="20">
        <v>232.2</v>
      </c>
      <c r="S45" s="20">
        <v>105.4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</row>
    <row r="46" spans="1:35" x14ac:dyDescent="0.25">
      <c r="A46" s="27">
        <f t="shared" si="0"/>
        <v>46057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25.8</v>
      </c>
      <c r="H46" s="20">
        <v>61.7</v>
      </c>
      <c r="I46" s="20">
        <v>186.3</v>
      </c>
      <c r="J46" s="20">
        <v>731</v>
      </c>
      <c r="K46" s="20">
        <v>1031.0999999999999</v>
      </c>
      <c r="L46" s="20">
        <v>1315.7</v>
      </c>
      <c r="M46" s="20">
        <v>1265.8</v>
      </c>
      <c r="N46" s="20">
        <v>361.9</v>
      </c>
      <c r="O46" s="20">
        <v>261.3</v>
      </c>
      <c r="P46" s="20">
        <v>94.1</v>
      </c>
      <c r="Q46" s="20">
        <v>209.7</v>
      </c>
      <c r="R46" s="20">
        <v>271.10000000000002</v>
      </c>
      <c r="S46" s="20">
        <v>55.9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</row>
    <row r="47" spans="1:35" x14ac:dyDescent="0.25">
      <c r="A47" s="27">
        <f t="shared" si="0"/>
        <v>46058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25.7</v>
      </c>
      <c r="H47" s="20">
        <v>35.1</v>
      </c>
      <c r="I47" s="20">
        <v>374.2</v>
      </c>
      <c r="J47" s="20">
        <v>752.3</v>
      </c>
      <c r="K47" s="20">
        <v>179.4</v>
      </c>
      <c r="L47" s="20">
        <v>1358.1</v>
      </c>
      <c r="M47" s="20">
        <v>256.7</v>
      </c>
      <c r="N47" s="20">
        <v>352.5</v>
      </c>
      <c r="O47" s="20">
        <v>300.39999999999998</v>
      </c>
      <c r="P47" s="20">
        <v>423</v>
      </c>
      <c r="Q47" s="20">
        <v>311.7</v>
      </c>
      <c r="R47" s="20">
        <v>171.6</v>
      </c>
      <c r="S47" s="20">
        <v>57.5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</row>
    <row r="48" spans="1:35" x14ac:dyDescent="0.25">
      <c r="A48" s="27">
        <f t="shared" si="0"/>
        <v>46059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27.8</v>
      </c>
      <c r="I48" s="20">
        <v>115.5</v>
      </c>
      <c r="J48" s="20">
        <v>284.7</v>
      </c>
      <c r="K48" s="20">
        <v>574.4</v>
      </c>
      <c r="L48" s="20">
        <v>742.5</v>
      </c>
      <c r="M48" s="20">
        <v>1395.5</v>
      </c>
      <c r="N48" s="20">
        <v>850.1</v>
      </c>
      <c r="O48" s="20">
        <v>513</v>
      </c>
      <c r="P48" s="20">
        <v>80.3</v>
      </c>
      <c r="Q48" s="20">
        <v>145.80000000000001</v>
      </c>
      <c r="R48" s="20">
        <v>22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</row>
    <row r="49" spans="1:25" x14ac:dyDescent="0.25">
      <c r="A49" s="27">
        <f t="shared" si="0"/>
        <v>46060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44.3</v>
      </c>
      <c r="I49" s="20">
        <v>188.2</v>
      </c>
      <c r="J49" s="20">
        <v>780.1</v>
      </c>
      <c r="K49" s="20">
        <v>1155.8</v>
      </c>
      <c r="L49" s="20">
        <v>532.29999999999995</v>
      </c>
      <c r="M49" s="20">
        <v>1378</v>
      </c>
      <c r="N49" s="20">
        <v>359.9</v>
      </c>
      <c r="O49" s="20">
        <v>147.6</v>
      </c>
      <c r="P49" s="20">
        <v>265</v>
      </c>
      <c r="Q49" s="20">
        <v>132.19999999999999</v>
      </c>
      <c r="R49" s="20">
        <v>214.9</v>
      </c>
      <c r="S49" s="20">
        <v>58.9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</row>
    <row r="50" spans="1:25" x14ac:dyDescent="0.25">
      <c r="A50" s="27">
        <f t="shared" si="0"/>
        <v>46061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49</v>
      </c>
      <c r="I50" s="20">
        <v>377.7</v>
      </c>
      <c r="J50" s="20">
        <v>712.9</v>
      </c>
      <c r="K50" s="20">
        <v>1040.8</v>
      </c>
      <c r="L50" s="20">
        <v>1378.1</v>
      </c>
      <c r="M50" s="20">
        <v>0</v>
      </c>
      <c r="N50" s="20">
        <v>1346</v>
      </c>
      <c r="O50" s="20">
        <v>1362.3</v>
      </c>
      <c r="P50" s="20">
        <v>1178</v>
      </c>
      <c r="Q50" s="20">
        <v>309.5</v>
      </c>
      <c r="R50" s="20">
        <v>57.4</v>
      </c>
      <c r="S50" s="20">
        <v>68.2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</row>
    <row r="51" spans="1:25" x14ac:dyDescent="0.25">
      <c r="A51" s="27">
        <f t="shared" si="0"/>
        <v>46062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28</v>
      </c>
      <c r="H51" s="20">
        <v>47.5</v>
      </c>
      <c r="I51" s="20">
        <v>371.1</v>
      </c>
      <c r="J51" s="20">
        <v>712.6</v>
      </c>
      <c r="K51" s="20">
        <v>1079.0999999999999</v>
      </c>
      <c r="L51" s="20">
        <v>322.60000000000002</v>
      </c>
      <c r="M51" s="20">
        <v>416.2</v>
      </c>
      <c r="N51" s="20">
        <v>1394.9</v>
      </c>
      <c r="O51" s="20">
        <v>1368.7</v>
      </c>
      <c r="P51" s="20">
        <v>464.8</v>
      </c>
      <c r="Q51" s="20">
        <v>1024.5</v>
      </c>
      <c r="R51" s="20">
        <v>177.7</v>
      </c>
      <c r="S51" s="20">
        <v>19.100000000000001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</row>
    <row r="52" spans="1:25" x14ac:dyDescent="0.25">
      <c r="A52" s="27">
        <f t="shared" si="0"/>
        <v>46063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24.8</v>
      </c>
      <c r="H52" s="20">
        <v>42.6</v>
      </c>
      <c r="I52" s="20">
        <v>139.1</v>
      </c>
      <c r="J52" s="20">
        <v>702.8</v>
      </c>
      <c r="K52" s="20">
        <v>393.8</v>
      </c>
      <c r="L52" s="20">
        <v>344.8</v>
      </c>
      <c r="M52" s="20">
        <v>631.5</v>
      </c>
      <c r="N52" s="20">
        <v>760.4</v>
      </c>
      <c r="O52" s="20">
        <v>699.5</v>
      </c>
      <c r="P52" s="20">
        <v>381.7</v>
      </c>
      <c r="Q52" s="20">
        <v>513</v>
      </c>
      <c r="R52" s="20">
        <v>152.69999999999999</v>
      </c>
      <c r="S52" s="20">
        <v>63.5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</row>
    <row r="53" spans="1:25" x14ac:dyDescent="0.25">
      <c r="A53" s="27">
        <f t="shared" si="0"/>
        <v>46064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26.1</v>
      </c>
      <c r="H53" s="20">
        <v>63.3</v>
      </c>
      <c r="I53" s="20">
        <v>407.8</v>
      </c>
      <c r="J53" s="20">
        <v>723.9</v>
      </c>
      <c r="K53" s="20">
        <v>1054.5</v>
      </c>
      <c r="L53" s="20">
        <v>1345.3</v>
      </c>
      <c r="M53" s="20">
        <v>1371.8</v>
      </c>
      <c r="N53" s="20">
        <v>1381.6</v>
      </c>
      <c r="O53" s="20">
        <v>558.6</v>
      </c>
      <c r="P53" s="20">
        <v>272.60000000000002</v>
      </c>
      <c r="Q53" s="20">
        <v>994.3</v>
      </c>
      <c r="R53" s="20">
        <v>268.89999999999998</v>
      </c>
      <c r="S53" s="20">
        <v>61.7</v>
      </c>
      <c r="T53" s="20">
        <v>20.8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</row>
    <row r="54" spans="1:25" x14ac:dyDescent="0.25">
      <c r="A54" s="27">
        <f t="shared" si="0"/>
        <v>46065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24.5</v>
      </c>
      <c r="H54" s="20">
        <v>35.6</v>
      </c>
      <c r="I54" s="20">
        <v>206.2</v>
      </c>
      <c r="J54" s="20">
        <v>364.1</v>
      </c>
      <c r="K54" s="20">
        <v>249.9</v>
      </c>
      <c r="L54" s="20">
        <v>1394.9</v>
      </c>
      <c r="M54" s="20">
        <v>1343.3</v>
      </c>
      <c r="N54" s="20">
        <v>449.4</v>
      </c>
      <c r="O54" s="20">
        <v>1332.7</v>
      </c>
      <c r="P54" s="20">
        <v>319.3</v>
      </c>
      <c r="Q54" s="20">
        <v>1101.5</v>
      </c>
      <c r="R54" s="20">
        <v>192.3</v>
      </c>
      <c r="S54" s="20">
        <v>53.6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</row>
    <row r="55" spans="1:25" x14ac:dyDescent="0.25">
      <c r="A55" s="27">
        <f t="shared" si="0"/>
        <v>46066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25.2</v>
      </c>
      <c r="H55" s="20">
        <v>37</v>
      </c>
      <c r="I55" s="20">
        <v>400</v>
      </c>
      <c r="J55" s="20">
        <v>760.3</v>
      </c>
      <c r="K55" s="20">
        <v>1113.4000000000001</v>
      </c>
      <c r="L55" s="20">
        <v>577</v>
      </c>
      <c r="M55" s="20">
        <v>949.7</v>
      </c>
      <c r="N55" s="20">
        <v>458.7</v>
      </c>
      <c r="O55" s="20">
        <v>1379.3</v>
      </c>
      <c r="P55" s="20">
        <v>1316</v>
      </c>
      <c r="Q55" s="20">
        <v>419.4</v>
      </c>
      <c r="R55" s="20">
        <v>478</v>
      </c>
      <c r="S55" s="20">
        <v>157.5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</row>
    <row r="56" spans="1:25" x14ac:dyDescent="0.25">
      <c r="A56" s="27">
        <f t="shared" si="0"/>
        <v>46067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26.2</v>
      </c>
      <c r="H56" s="20">
        <v>61.8</v>
      </c>
      <c r="I56" s="20">
        <v>382.4</v>
      </c>
      <c r="J56" s="20">
        <v>726.3</v>
      </c>
      <c r="K56" s="20">
        <v>1038.9000000000001</v>
      </c>
      <c r="L56" s="20">
        <v>1308.9000000000001</v>
      </c>
      <c r="M56" s="20">
        <v>1391.1</v>
      </c>
      <c r="N56" s="20">
        <v>1380.7</v>
      </c>
      <c r="O56" s="20">
        <v>1007.7</v>
      </c>
      <c r="P56" s="20">
        <v>322.10000000000002</v>
      </c>
      <c r="Q56" s="20">
        <v>205.9</v>
      </c>
      <c r="R56" s="20">
        <v>64</v>
      </c>
      <c r="S56" s="20">
        <v>33.1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</row>
    <row r="57" spans="1:25" x14ac:dyDescent="0.25">
      <c r="A57" s="27">
        <f t="shared" si="0"/>
        <v>46068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26.2</v>
      </c>
      <c r="H57" s="20">
        <v>59.8</v>
      </c>
      <c r="I57" s="20">
        <v>168.1</v>
      </c>
      <c r="J57" s="20">
        <v>706</v>
      </c>
      <c r="K57" s="20">
        <v>1054.3</v>
      </c>
      <c r="L57" s="20">
        <v>1377.8</v>
      </c>
      <c r="M57" s="20">
        <v>1357.4</v>
      </c>
      <c r="N57" s="20">
        <v>426.7</v>
      </c>
      <c r="O57" s="20">
        <v>437.9</v>
      </c>
      <c r="P57" s="20">
        <v>323.2</v>
      </c>
      <c r="Q57" s="20">
        <v>1135.9000000000001</v>
      </c>
      <c r="R57" s="20">
        <v>382.2</v>
      </c>
      <c r="S57" s="20">
        <v>157.30000000000001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</row>
    <row r="58" spans="1:25" x14ac:dyDescent="0.25">
      <c r="A58" s="27">
        <f t="shared" si="0"/>
        <v>46069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25.9</v>
      </c>
      <c r="H58" s="20">
        <v>69.3</v>
      </c>
      <c r="I58" s="20">
        <v>372.2</v>
      </c>
      <c r="J58" s="20">
        <v>730.1</v>
      </c>
      <c r="K58" s="20">
        <v>1045.5999999999999</v>
      </c>
      <c r="L58" s="20">
        <v>1392.1</v>
      </c>
      <c r="M58" s="20">
        <v>1379.7</v>
      </c>
      <c r="N58" s="20">
        <v>277.10000000000002</v>
      </c>
      <c r="O58" s="20">
        <v>1353.5</v>
      </c>
      <c r="P58" s="20">
        <v>1143.9000000000001</v>
      </c>
      <c r="Q58" s="20">
        <v>858.7</v>
      </c>
      <c r="R58" s="20">
        <v>101.2</v>
      </c>
      <c r="S58" s="20">
        <v>91.2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</row>
    <row r="59" spans="1:25" x14ac:dyDescent="0.25">
      <c r="A59" s="27">
        <f t="shared" si="0"/>
        <v>46070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24.3</v>
      </c>
      <c r="H59" s="20">
        <v>42.4</v>
      </c>
      <c r="I59" s="20">
        <v>385.2</v>
      </c>
      <c r="J59" s="20">
        <v>712.1</v>
      </c>
      <c r="K59" s="20">
        <v>1047.4000000000001</v>
      </c>
      <c r="L59" s="20">
        <v>1277.4000000000001</v>
      </c>
      <c r="M59" s="20">
        <v>1395.8</v>
      </c>
      <c r="N59" s="20">
        <v>0</v>
      </c>
      <c r="O59" s="20">
        <v>1321.6</v>
      </c>
      <c r="P59" s="20">
        <v>1191.2</v>
      </c>
      <c r="Q59" s="20">
        <v>221.3</v>
      </c>
      <c r="R59" s="20">
        <v>153.6</v>
      </c>
      <c r="S59" s="20">
        <v>129.6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</row>
    <row r="60" spans="1:25" x14ac:dyDescent="0.25">
      <c r="A60" s="27">
        <f t="shared" si="0"/>
        <v>46071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25.5</v>
      </c>
      <c r="H60" s="20">
        <v>57.3</v>
      </c>
      <c r="I60" s="20">
        <v>362.6</v>
      </c>
      <c r="J60" s="20">
        <v>718.7</v>
      </c>
      <c r="K60" s="20">
        <v>1045</v>
      </c>
      <c r="L60" s="20">
        <v>1381.3</v>
      </c>
      <c r="M60" s="20">
        <v>1349.5</v>
      </c>
      <c r="N60" s="20">
        <v>1359.9</v>
      </c>
      <c r="O60" s="20">
        <v>234.5</v>
      </c>
      <c r="P60" s="20">
        <v>1261.3</v>
      </c>
      <c r="Q60" s="20">
        <v>521.5</v>
      </c>
      <c r="R60" s="20">
        <v>443</v>
      </c>
      <c r="S60" s="20">
        <v>96.2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</row>
    <row r="61" spans="1:25" x14ac:dyDescent="0.25">
      <c r="A61" s="27">
        <f t="shared" si="0"/>
        <v>46072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26.2</v>
      </c>
      <c r="H61" s="20">
        <v>51.7</v>
      </c>
      <c r="I61" s="20">
        <v>383.9</v>
      </c>
      <c r="J61" s="20">
        <v>742</v>
      </c>
      <c r="K61" s="20">
        <v>868.9</v>
      </c>
      <c r="L61" s="20">
        <v>1351</v>
      </c>
      <c r="M61" s="20">
        <v>1047.5</v>
      </c>
      <c r="N61" s="20">
        <v>1360.8</v>
      </c>
      <c r="O61" s="20">
        <v>1345.3</v>
      </c>
      <c r="P61" s="20">
        <v>535</v>
      </c>
      <c r="Q61" s="20">
        <v>376.9</v>
      </c>
      <c r="R61" s="20">
        <v>588.70000000000005</v>
      </c>
      <c r="S61" s="20">
        <v>60.6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</row>
    <row r="62" spans="1:25" x14ac:dyDescent="0.25">
      <c r="A62" s="27">
        <f t="shared" si="0"/>
        <v>46073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25</v>
      </c>
      <c r="H62" s="20">
        <v>39.799999999999997</v>
      </c>
      <c r="I62" s="20">
        <v>362.5</v>
      </c>
      <c r="J62" s="20">
        <v>802.1</v>
      </c>
      <c r="K62" s="20">
        <v>543.79999999999995</v>
      </c>
      <c r="L62" s="20">
        <v>382.5</v>
      </c>
      <c r="M62" s="20">
        <v>812.6</v>
      </c>
      <c r="N62" s="20">
        <v>289</v>
      </c>
      <c r="O62" s="20">
        <v>933.8</v>
      </c>
      <c r="P62" s="20">
        <v>207.8</v>
      </c>
      <c r="Q62" s="20">
        <v>398.7</v>
      </c>
      <c r="R62" s="20">
        <v>162.1</v>
      </c>
      <c r="S62" s="20">
        <v>88.5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</row>
    <row r="63" spans="1:25" x14ac:dyDescent="0.25">
      <c r="A63" s="27">
        <f t="shared" si="0"/>
        <v>46074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58.5</v>
      </c>
      <c r="I63" s="20">
        <v>153.69999999999999</v>
      </c>
      <c r="J63" s="20">
        <v>270.89999999999998</v>
      </c>
      <c r="K63" s="20">
        <v>948</v>
      </c>
      <c r="L63" s="20">
        <v>1387.3</v>
      </c>
      <c r="M63" s="20">
        <v>1394.2</v>
      </c>
      <c r="N63" s="20">
        <v>920.9</v>
      </c>
      <c r="O63" s="20">
        <v>1391</v>
      </c>
      <c r="P63" s="20">
        <v>292.39999999999998</v>
      </c>
      <c r="Q63" s="20">
        <v>35.9</v>
      </c>
      <c r="R63" s="20">
        <v>37.6</v>
      </c>
      <c r="S63" s="20">
        <v>29.9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</row>
    <row r="64" spans="1:25" x14ac:dyDescent="0.25">
      <c r="A64" s="27">
        <f t="shared" si="0"/>
        <v>46075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51.1</v>
      </c>
      <c r="I64" s="20">
        <v>404.5</v>
      </c>
      <c r="J64" s="20">
        <v>804.1</v>
      </c>
      <c r="K64" s="20">
        <v>511.9</v>
      </c>
      <c r="L64" s="20">
        <v>1393.8</v>
      </c>
      <c r="M64" s="20">
        <v>1386.1</v>
      </c>
      <c r="N64" s="20">
        <v>176.2</v>
      </c>
      <c r="O64" s="20">
        <v>206.4</v>
      </c>
      <c r="P64" s="20">
        <v>107.3</v>
      </c>
      <c r="Q64" s="20">
        <v>90.9</v>
      </c>
      <c r="R64" s="20">
        <v>98.2</v>
      </c>
      <c r="S64" s="20">
        <v>35.200000000000003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</row>
    <row r="65" spans="1:35" x14ac:dyDescent="0.25">
      <c r="A65" s="27">
        <f t="shared" si="0"/>
        <v>46076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97.9</v>
      </c>
      <c r="I65" s="20">
        <v>509.1</v>
      </c>
      <c r="J65" s="20">
        <v>811.8</v>
      </c>
      <c r="K65" s="20">
        <v>910.4</v>
      </c>
      <c r="L65" s="20">
        <v>1315.1</v>
      </c>
      <c r="M65" s="20">
        <v>1363.1</v>
      </c>
      <c r="N65" s="20">
        <v>1395.3</v>
      </c>
      <c r="O65" s="20">
        <v>1380.6</v>
      </c>
      <c r="P65" s="20">
        <v>392.9</v>
      </c>
      <c r="Q65" s="20">
        <v>872.6</v>
      </c>
      <c r="R65" s="20">
        <v>128</v>
      </c>
      <c r="S65" s="20">
        <v>93.9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</row>
    <row r="66" spans="1:35" x14ac:dyDescent="0.25">
      <c r="A66" s="27">
        <f t="shared" si="0"/>
        <v>46077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58.9</v>
      </c>
      <c r="I66" s="20">
        <v>150.5</v>
      </c>
      <c r="J66" s="20">
        <v>721.7</v>
      </c>
      <c r="K66" s="20">
        <v>1087.4000000000001</v>
      </c>
      <c r="L66" s="20">
        <v>1392.7</v>
      </c>
      <c r="M66" s="20">
        <v>1384.5</v>
      </c>
      <c r="N66" s="20">
        <v>1384</v>
      </c>
      <c r="O66" s="20">
        <v>343.6</v>
      </c>
      <c r="P66" s="20">
        <v>352.6</v>
      </c>
      <c r="Q66" s="20">
        <v>206</v>
      </c>
      <c r="R66" s="20">
        <v>371.4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</row>
    <row r="67" spans="1:35" x14ac:dyDescent="0.25">
      <c r="A67" s="27">
        <f t="shared" si="0"/>
        <v>46078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26.3</v>
      </c>
      <c r="H67" s="20">
        <v>92.8</v>
      </c>
      <c r="I67" s="20">
        <v>356.8</v>
      </c>
      <c r="J67" s="20">
        <v>764.9</v>
      </c>
      <c r="K67" s="20">
        <v>1121.5999999999999</v>
      </c>
      <c r="L67" s="20">
        <v>1352</v>
      </c>
      <c r="M67" s="20">
        <v>1394.9</v>
      </c>
      <c r="N67" s="20">
        <v>1388.6</v>
      </c>
      <c r="O67" s="20">
        <v>1372.5</v>
      </c>
      <c r="P67" s="20">
        <v>806.5</v>
      </c>
      <c r="Q67" s="20">
        <v>254.2</v>
      </c>
      <c r="R67" s="20">
        <v>107.7</v>
      </c>
      <c r="S67" s="20">
        <v>40.799999999999997</v>
      </c>
      <c r="T67" s="20">
        <v>22.3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</row>
    <row r="68" spans="1:35" x14ac:dyDescent="0.25">
      <c r="A68" s="27">
        <f t="shared" si="0"/>
        <v>46079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25.9</v>
      </c>
      <c r="H68" s="20">
        <v>82.4</v>
      </c>
      <c r="I68" s="20">
        <v>461.8</v>
      </c>
      <c r="J68" s="20">
        <v>776</v>
      </c>
      <c r="K68" s="20">
        <v>1113.5999999999999</v>
      </c>
      <c r="L68" s="20">
        <v>1342.1</v>
      </c>
      <c r="M68" s="20">
        <v>1396</v>
      </c>
      <c r="N68" s="20">
        <v>1116.42</v>
      </c>
      <c r="O68" s="20">
        <v>1344.7</v>
      </c>
      <c r="P68" s="20">
        <v>1188.0999999999999</v>
      </c>
      <c r="Q68" s="20">
        <v>913.7</v>
      </c>
      <c r="R68" s="20">
        <v>468.4</v>
      </c>
      <c r="S68" s="20">
        <v>74.5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</row>
    <row r="69" spans="1:35" x14ac:dyDescent="0.25">
      <c r="A69" s="27">
        <f t="shared" si="0"/>
        <v>46080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24.8</v>
      </c>
      <c r="H69" s="20">
        <v>109</v>
      </c>
      <c r="I69" s="20">
        <v>438.2</v>
      </c>
      <c r="J69" s="20">
        <v>788.6</v>
      </c>
      <c r="K69" s="20">
        <v>1092.5999999999999</v>
      </c>
      <c r="L69" s="20">
        <v>1344.7</v>
      </c>
      <c r="M69" s="20">
        <v>1387.9</v>
      </c>
      <c r="N69" s="20">
        <v>1365</v>
      </c>
      <c r="O69" s="20">
        <v>401.8</v>
      </c>
      <c r="P69" s="20">
        <v>1263.0999999999999</v>
      </c>
      <c r="Q69" s="20">
        <v>876.7</v>
      </c>
      <c r="R69" s="20">
        <v>453.2</v>
      </c>
      <c r="S69" s="20">
        <v>128.1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</row>
    <row r="70" spans="1:35" x14ac:dyDescent="0.25">
      <c r="A70" s="27">
        <f t="shared" si="0"/>
        <v>46081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25.3</v>
      </c>
      <c r="H70" s="20">
        <v>105.9</v>
      </c>
      <c r="I70" s="20">
        <v>423.8</v>
      </c>
      <c r="J70" s="20">
        <v>766.6</v>
      </c>
      <c r="K70" s="20">
        <v>1086.0999999999999</v>
      </c>
      <c r="L70" s="20">
        <v>1360.4</v>
      </c>
      <c r="M70" s="20">
        <v>492.7</v>
      </c>
      <c r="N70" s="20">
        <v>1388.7</v>
      </c>
      <c r="O70" s="20">
        <v>1380.9</v>
      </c>
      <c r="P70" s="20">
        <v>654</v>
      </c>
      <c r="Q70" s="20">
        <v>298.89999999999998</v>
      </c>
      <c r="R70" s="20">
        <v>86.9</v>
      </c>
      <c r="S70" s="20">
        <v>122.2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</row>
    <row r="71" spans="1:35" x14ac:dyDescent="0.25">
      <c r="A71" s="27">
        <f t="shared" si="0"/>
        <v>46082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26.5</v>
      </c>
      <c r="H71" s="20">
        <v>109.6</v>
      </c>
      <c r="I71" s="20">
        <v>427.9</v>
      </c>
      <c r="J71" s="20">
        <v>770.1</v>
      </c>
      <c r="K71" s="20">
        <v>1088.5999999999999</v>
      </c>
      <c r="L71" s="20">
        <v>1343</v>
      </c>
      <c r="M71" s="20">
        <v>1366.2</v>
      </c>
      <c r="N71" s="20">
        <v>1395</v>
      </c>
      <c r="O71" s="20">
        <v>1323.9</v>
      </c>
      <c r="P71" s="20">
        <v>1132.3</v>
      </c>
      <c r="Q71" s="20">
        <v>811.9</v>
      </c>
      <c r="R71" s="20">
        <v>460.4</v>
      </c>
      <c r="S71" s="20">
        <v>117.1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</row>
    <row r="72" spans="1:35" x14ac:dyDescent="0.25">
      <c r="A72" s="27">
        <f t="shared" si="0"/>
        <v>46083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26.1</v>
      </c>
      <c r="H72" s="20">
        <v>105.1</v>
      </c>
      <c r="I72" s="20">
        <v>451.6</v>
      </c>
      <c r="J72" s="20">
        <v>761.8</v>
      </c>
      <c r="K72" s="20">
        <v>1097</v>
      </c>
      <c r="L72" s="20">
        <v>1234.2</v>
      </c>
      <c r="M72" s="20">
        <v>1378.5</v>
      </c>
      <c r="N72" s="20">
        <v>1390.1</v>
      </c>
      <c r="O72" s="20">
        <v>1386.4</v>
      </c>
      <c r="P72" s="20">
        <v>1132.7</v>
      </c>
      <c r="Q72" s="20">
        <v>807.9</v>
      </c>
      <c r="R72" s="20">
        <v>192.3</v>
      </c>
      <c r="S72" s="20">
        <v>108.3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5"/>
      <c r="AA72" s="25"/>
      <c r="AB72" s="25"/>
      <c r="AC72" s="25"/>
      <c r="AD72" s="25"/>
      <c r="AE72" s="25"/>
      <c r="AF72" s="25"/>
      <c r="AG72" s="25"/>
      <c r="AH72" s="25"/>
      <c r="AI72" s="25"/>
    </row>
    <row r="73" spans="1:35" x14ac:dyDescent="0.25">
      <c r="A73" s="27">
        <f t="shared" si="0"/>
        <v>46084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26.1</v>
      </c>
      <c r="H73" s="20">
        <v>101.1</v>
      </c>
      <c r="I73" s="20">
        <v>473</v>
      </c>
      <c r="J73" s="20">
        <v>744.4</v>
      </c>
      <c r="K73" s="20">
        <v>1162.8</v>
      </c>
      <c r="L73" s="20">
        <v>1393.6</v>
      </c>
      <c r="M73" s="20">
        <v>325.2</v>
      </c>
      <c r="N73" s="20">
        <v>1383.6</v>
      </c>
      <c r="O73" s="20">
        <v>1395.4</v>
      </c>
      <c r="P73" s="20">
        <v>1279.5</v>
      </c>
      <c r="Q73" s="20">
        <v>66.2</v>
      </c>
      <c r="R73" s="20">
        <v>114.2</v>
      </c>
      <c r="S73" s="20">
        <v>109.8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</row>
    <row r="74" spans="1:35" x14ac:dyDescent="0.25">
      <c r="A74" s="27">
        <f t="shared" si="0"/>
        <v>46085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26.2</v>
      </c>
      <c r="H74" s="20">
        <v>107.9</v>
      </c>
      <c r="I74" s="20">
        <v>443.5</v>
      </c>
      <c r="J74" s="20">
        <v>760.2</v>
      </c>
      <c r="K74" s="20">
        <v>288.60000000000002</v>
      </c>
      <c r="L74" s="20">
        <v>8.5</v>
      </c>
      <c r="M74" s="20">
        <v>21.2</v>
      </c>
      <c r="N74" s="20">
        <v>17.399999999999999</v>
      </c>
      <c r="O74" s="20">
        <v>408.5</v>
      </c>
      <c r="P74" s="20">
        <v>309.39999999999998</v>
      </c>
      <c r="Q74" s="20">
        <v>180.2</v>
      </c>
      <c r="R74" s="20">
        <v>112.3</v>
      </c>
      <c r="S74" s="20">
        <v>52.8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</row>
    <row r="75" spans="1:35" x14ac:dyDescent="0.25">
      <c r="A75" s="27">
        <f t="shared" si="0"/>
        <v>46086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186.6</v>
      </c>
      <c r="I75" s="20">
        <v>469.7</v>
      </c>
      <c r="J75" s="20">
        <v>710.9</v>
      </c>
      <c r="K75" s="20">
        <v>888.6</v>
      </c>
      <c r="L75" s="20">
        <v>998</v>
      </c>
      <c r="M75" s="20">
        <v>215</v>
      </c>
      <c r="N75" s="20">
        <v>418.5</v>
      </c>
      <c r="O75" s="20">
        <v>257.60000000000002</v>
      </c>
      <c r="P75" s="20">
        <v>365.4</v>
      </c>
      <c r="Q75" s="20">
        <v>214.6</v>
      </c>
      <c r="R75" s="20">
        <v>59.3</v>
      </c>
      <c r="S75" s="20">
        <v>128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</row>
    <row r="76" spans="1:35" x14ac:dyDescent="0.25">
      <c r="A76" s="27">
        <f t="shared" si="0"/>
        <v>46087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208.3</v>
      </c>
      <c r="I76" s="20">
        <v>467.1</v>
      </c>
      <c r="J76" s="20">
        <v>756.9</v>
      </c>
      <c r="K76" s="20">
        <v>946.5</v>
      </c>
      <c r="L76" s="20">
        <v>1058.7</v>
      </c>
      <c r="M76" s="20">
        <v>654.29999999999995</v>
      </c>
      <c r="N76" s="20">
        <v>627.9</v>
      </c>
      <c r="O76" s="20">
        <v>74.900000000000006</v>
      </c>
      <c r="P76" s="20">
        <v>175.6</v>
      </c>
      <c r="Q76" s="20">
        <v>113.2</v>
      </c>
      <c r="R76" s="20">
        <v>87.3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</row>
    <row r="77" spans="1:35" x14ac:dyDescent="0.25">
      <c r="A77" s="27">
        <f t="shared" si="0"/>
        <v>46088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1.1000000000000001</v>
      </c>
      <c r="H77" s="20">
        <v>225</v>
      </c>
      <c r="I77" s="20">
        <v>518.70000000000005</v>
      </c>
      <c r="J77" s="20">
        <v>732.3</v>
      </c>
      <c r="K77" s="20">
        <v>930</v>
      </c>
      <c r="L77" s="20">
        <v>1009.3</v>
      </c>
      <c r="M77" s="20">
        <v>1117</v>
      </c>
      <c r="N77" s="20">
        <v>964.8</v>
      </c>
      <c r="O77" s="20">
        <v>995.7</v>
      </c>
      <c r="P77" s="20">
        <v>64</v>
      </c>
      <c r="Q77" s="20">
        <v>278</v>
      </c>
      <c r="R77" s="20">
        <v>33.799999999999997</v>
      </c>
      <c r="S77" s="20">
        <v>15.2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</row>
    <row r="78" spans="1:35" x14ac:dyDescent="0.25">
      <c r="A78" s="27">
        <f t="shared" ref="A78:A141" si="1">+A77+1</f>
        <v>46089</v>
      </c>
      <c r="B78" s="20">
        <v>0</v>
      </c>
      <c r="C78" s="20">
        <v>0</v>
      </c>
      <c r="D78" s="20">
        <v>0</v>
      </c>
      <c r="E78" s="20">
        <v>0</v>
      </c>
      <c r="F78" s="20">
        <v>0</v>
      </c>
      <c r="G78" s="20">
        <v>26</v>
      </c>
      <c r="H78" s="20">
        <v>195.3</v>
      </c>
      <c r="I78" s="20">
        <v>560.70000000000005</v>
      </c>
      <c r="J78" s="20">
        <v>725.7</v>
      </c>
      <c r="K78" s="20">
        <v>407.2</v>
      </c>
      <c r="L78" s="20">
        <v>272.89999999999998</v>
      </c>
      <c r="M78" s="20">
        <v>298.10000000000002</v>
      </c>
      <c r="N78" s="20">
        <v>938.8</v>
      </c>
      <c r="O78" s="20">
        <v>863.6</v>
      </c>
      <c r="P78" s="20">
        <v>426.5</v>
      </c>
      <c r="Q78" s="20">
        <v>183</v>
      </c>
      <c r="R78" s="20">
        <v>94.1</v>
      </c>
      <c r="S78" s="20">
        <v>50.17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</row>
    <row r="79" spans="1:35" x14ac:dyDescent="0.25">
      <c r="A79" s="27">
        <f t="shared" si="1"/>
        <v>46090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227.5</v>
      </c>
      <c r="I79" s="20">
        <v>507</v>
      </c>
      <c r="J79" s="20">
        <v>739.8</v>
      </c>
      <c r="K79" s="20">
        <v>984.6</v>
      </c>
      <c r="L79" s="20">
        <v>927.4</v>
      </c>
      <c r="M79" s="20">
        <v>1050</v>
      </c>
      <c r="N79" s="20">
        <v>883.8</v>
      </c>
      <c r="O79" s="20">
        <v>809.8</v>
      </c>
      <c r="P79" s="20">
        <v>552.4</v>
      </c>
      <c r="Q79" s="20">
        <v>328.1</v>
      </c>
      <c r="R79" s="20">
        <v>35.700000000000003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</row>
    <row r="80" spans="1:35" x14ac:dyDescent="0.25">
      <c r="A80" s="27">
        <f t="shared" si="1"/>
        <v>46091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118.3</v>
      </c>
      <c r="I80" s="20">
        <v>461.6</v>
      </c>
      <c r="J80" s="20">
        <v>808.6</v>
      </c>
      <c r="K80" s="20">
        <v>251.1</v>
      </c>
      <c r="L80" s="20">
        <v>1395.9</v>
      </c>
      <c r="M80" s="20">
        <v>1391.7</v>
      </c>
      <c r="N80" s="20">
        <v>314</v>
      </c>
      <c r="O80" s="20">
        <v>17.600000000000001</v>
      </c>
      <c r="P80" s="20">
        <v>927.9</v>
      </c>
      <c r="Q80" s="20">
        <v>148.6</v>
      </c>
      <c r="R80" s="20">
        <v>153.69999999999999</v>
      </c>
      <c r="S80" s="20">
        <v>73.3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</row>
    <row r="81" spans="1:25" x14ac:dyDescent="0.25">
      <c r="A81" s="27">
        <f t="shared" si="1"/>
        <v>46092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103.2</v>
      </c>
      <c r="I81" s="20">
        <v>357.1</v>
      </c>
      <c r="J81" s="20">
        <v>1031.5999999999999</v>
      </c>
      <c r="K81" s="20">
        <v>1395.9</v>
      </c>
      <c r="L81" s="20">
        <v>1361.9</v>
      </c>
      <c r="M81" s="20">
        <v>628.5</v>
      </c>
      <c r="N81" s="20">
        <v>551.6</v>
      </c>
      <c r="O81" s="20">
        <v>0</v>
      </c>
      <c r="P81" s="20">
        <v>679.4</v>
      </c>
      <c r="Q81" s="20">
        <v>315.7</v>
      </c>
      <c r="R81" s="20">
        <v>136.9</v>
      </c>
      <c r="S81" s="20">
        <v>110.3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</row>
    <row r="82" spans="1:25" x14ac:dyDescent="0.25">
      <c r="A82" s="27">
        <f t="shared" si="1"/>
        <v>46093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134.80000000000001</v>
      </c>
      <c r="I82" s="20">
        <v>573.20000000000005</v>
      </c>
      <c r="J82" s="20">
        <v>1070.3</v>
      </c>
      <c r="K82" s="20">
        <v>1395.1</v>
      </c>
      <c r="L82" s="20">
        <v>1382.6</v>
      </c>
      <c r="M82" s="20">
        <v>1296</v>
      </c>
      <c r="N82" s="20">
        <v>1376.5</v>
      </c>
      <c r="O82" s="20">
        <v>1365.5</v>
      </c>
      <c r="P82" s="20">
        <v>0</v>
      </c>
      <c r="Q82" s="20">
        <v>679.1</v>
      </c>
      <c r="R82" s="20">
        <v>91.3</v>
      </c>
      <c r="S82" s="20">
        <v>155.9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</row>
    <row r="83" spans="1:25" x14ac:dyDescent="0.25">
      <c r="A83" s="27">
        <f t="shared" si="1"/>
        <v>46094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36</v>
      </c>
      <c r="H83" s="20">
        <v>34.4</v>
      </c>
      <c r="I83" s="20">
        <v>159.69999999999999</v>
      </c>
      <c r="J83" s="20">
        <v>516.79999999999995</v>
      </c>
      <c r="K83" s="20">
        <v>1024.2</v>
      </c>
      <c r="L83" s="20">
        <v>1395.2</v>
      </c>
      <c r="M83" s="20">
        <v>755.52</v>
      </c>
      <c r="N83" s="20">
        <v>849.64</v>
      </c>
      <c r="O83" s="20">
        <v>891.27</v>
      </c>
      <c r="P83" s="20">
        <v>811.02</v>
      </c>
      <c r="Q83" s="20">
        <v>1355.9</v>
      </c>
      <c r="R83" s="20">
        <v>358.1</v>
      </c>
      <c r="S83" s="20">
        <v>829.2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</row>
    <row r="84" spans="1:25" x14ac:dyDescent="0.25">
      <c r="A84" s="27">
        <f t="shared" si="1"/>
        <v>46095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37.200000000000003</v>
      </c>
      <c r="H84" s="20">
        <v>152.19999999999999</v>
      </c>
      <c r="I84" s="20">
        <v>532.5</v>
      </c>
      <c r="J84" s="20">
        <v>1059.5</v>
      </c>
      <c r="K84" s="20">
        <v>1395.5</v>
      </c>
      <c r="L84" s="20">
        <v>1370.1</v>
      </c>
      <c r="M84" s="20">
        <v>487.1</v>
      </c>
      <c r="N84" s="20">
        <v>1371.7</v>
      </c>
      <c r="O84" s="20">
        <v>0</v>
      </c>
      <c r="P84" s="20">
        <v>1329.3</v>
      </c>
      <c r="Q84" s="20">
        <v>275.89999999999998</v>
      </c>
      <c r="R84" s="20">
        <v>530.4</v>
      </c>
      <c r="S84" s="20">
        <v>114.8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</row>
    <row r="85" spans="1:25" x14ac:dyDescent="0.25">
      <c r="A85" s="27">
        <f t="shared" si="1"/>
        <v>46096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35.200000000000003</v>
      </c>
      <c r="H85" s="20">
        <v>165.3</v>
      </c>
      <c r="I85" s="20">
        <v>573</v>
      </c>
      <c r="J85" s="20">
        <v>1147.5999999999999</v>
      </c>
      <c r="K85" s="20">
        <v>1395.9</v>
      </c>
      <c r="L85" s="20">
        <v>1368</v>
      </c>
      <c r="M85" s="20">
        <v>1368</v>
      </c>
      <c r="N85" s="20">
        <v>576.29999999999995</v>
      </c>
      <c r="O85" s="20">
        <v>1319.6</v>
      </c>
      <c r="P85" s="20">
        <v>1382.2</v>
      </c>
      <c r="Q85" s="20">
        <v>1369.9</v>
      </c>
      <c r="R85" s="20">
        <v>948.4</v>
      </c>
      <c r="S85" s="20">
        <v>227.1</v>
      </c>
      <c r="T85" s="20">
        <v>28.3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</row>
    <row r="86" spans="1:25" x14ac:dyDescent="0.25">
      <c r="A86" s="27">
        <f t="shared" si="1"/>
        <v>46097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36.700000000000003</v>
      </c>
      <c r="H86" s="20">
        <v>162.80000000000001</v>
      </c>
      <c r="I86" s="20">
        <v>608.9</v>
      </c>
      <c r="J86" s="20">
        <v>1086.5999999999999</v>
      </c>
      <c r="K86" s="20">
        <v>1395.6</v>
      </c>
      <c r="L86" s="20">
        <v>1381.8</v>
      </c>
      <c r="M86" s="20">
        <v>1355.8</v>
      </c>
      <c r="N86" s="20">
        <v>1393.7</v>
      </c>
      <c r="O86" s="20">
        <v>1392.3</v>
      </c>
      <c r="P86" s="20">
        <v>322.10000000000002</v>
      </c>
      <c r="Q86" s="20">
        <v>245.2</v>
      </c>
      <c r="R86" s="20">
        <v>28.9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</row>
    <row r="87" spans="1:25" x14ac:dyDescent="0.25">
      <c r="A87" s="27">
        <f t="shared" si="1"/>
        <v>46098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37</v>
      </c>
      <c r="H87" s="20">
        <v>153.5</v>
      </c>
      <c r="I87" s="20">
        <v>461.9</v>
      </c>
      <c r="J87" s="20">
        <v>804</v>
      </c>
      <c r="K87" s="20">
        <v>1393.8</v>
      </c>
      <c r="L87" s="20">
        <v>1368</v>
      </c>
      <c r="M87" s="20">
        <v>1243.2</v>
      </c>
      <c r="N87" s="20">
        <v>1269.8</v>
      </c>
      <c r="O87" s="20">
        <v>1319.6</v>
      </c>
      <c r="P87" s="20">
        <v>1354.8</v>
      </c>
      <c r="Q87" s="20">
        <v>252.6</v>
      </c>
      <c r="R87" s="20">
        <v>275.3</v>
      </c>
      <c r="S87" s="20">
        <v>123.8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</row>
    <row r="88" spans="1:25" x14ac:dyDescent="0.25">
      <c r="A88" s="27">
        <f t="shared" si="1"/>
        <v>46099</v>
      </c>
      <c r="B88" s="20">
        <v>0</v>
      </c>
      <c r="C88" s="20">
        <v>0</v>
      </c>
      <c r="D88" s="20">
        <v>0</v>
      </c>
      <c r="E88" s="20">
        <v>0</v>
      </c>
      <c r="F88" s="20">
        <v>0</v>
      </c>
      <c r="G88" s="20">
        <v>37.1</v>
      </c>
      <c r="H88" s="20">
        <v>211.9</v>
      </c>
      <c r="I88" s="20">
        <v>511.6</v>
      </c>
      <c r="J88" s="20">
        <v>1048</v>
      </c>
      <c r="K88" s="20">
        <v>1389.9</v>
      </c>
      <c r="L88" s="20">
        <v>1355.6</v>
      </c>
      <c r="M88" s="20">
        <v>1285.5999999999999</v>
      </c>
      <c r="N88" s="20">
        <v>475.8</v>
      </c>
      <c r="O88" s="20">
        <v>1182.3</v>
      </c>
      <c r="P88" s="20">
        <v>1374.5</v>
      </c>
      <c r="Q88" s="20">
        <v>394.8</v>
      </c>
      <c r="R88" s="20">
        <v>661.1</v>
      </c>
      <c r="S88" s="20">
        <v>223.3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</row>
    <row r="89" spans="1:25" x14ac:dyDescent="0.25">
      <c r="A89" s="27">
        <f t="shared" si="1"/>
        <v>46100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155.19999999999999</v>
      </c>
      <c r="I89" s="20">
        <v>568.29999999999995</v>
      </c>
      <c r="J89" s="20">
        <v>1032.4000000000001</v>
      </c>
      <c r="K89" s="20">
        <v>1395.1</v>
      </c>
      <c r="L89" s="20">
        <v>288.7</v>
      </c>
      <c r="M89" s="20">
        <v>1362.9</v>
      </c>
      <c r="N89" s="20">
        <v>926.3</v>
      </c>
      <c r="O89" s="20">
        <v>1381.1</v>
      </c>
      <c r="P89" s="20">
        <v>392.9</v>
      </c>
      <c r="Q89" s="20">
        <v>327.3</v>
      </c>
      <c r="R89" s="20">
        <v>283.7</v>
      </c>
      <c r="S89" s="20">
        <v>91.3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</row>
    <row r="90" spans="1:25" x14ac:dyDescent="0.25">
      <c r="A90" s="27">
        <f t="shared" si="1"/>
        <v>46101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36.9</v>
      </c>
      <c r="H90" s="20">
        <v>128.9</v>
      </c>
      <c r="I90" s="20">
        <v>503.4</v>
      </c>
      <c r="J90" s="20">
        <v>1037.8</v>
      </c>
      <c r="K90" s="20">
        <v>1390.3</v>
      </c>
      <c r="L90" s="20">
        <v>1348.4</v>
      </c>
      <c r="M90" s="20">
        <v>1394.7</v>
      </c>
      <c r="N90" s="20">
        <v>1366.1</v>
      </c>
      <c r="O90" s="20">
        <v>1214.5</v>
      </c>
      <c r="P90" s="20">
        <v>528.79999999999995</v>
      </c>
      <c r="Q90" s="20">
        <v>1395.6</v>
      </c>
      <c r="R90" s="20">
        <v>217.9</v>
      </c>
      <c r="S90" s="20">
        <v>138.80000000000001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</row>
    <row r="91" spans="1:25" x14ac:dyDescent="0.25">
      <c r="A91" s="27">
        <f t="shared" si="1"/>
        <v>46102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36.5</v>
      </c>
      <c r="H91" s="20">
        <v>163.30000000000001</v>
      </c>
      <c r="I91" s="20">
        <v>632.9</v>
      </c>
      <c r="J91" s="20">
        <v>1179.0999999999999</v>
      </c>
      <c r="K91" s="20">
        <v>1395.2</v>
      </c>
      <c r="L91" s="20">
        <v>0</v>
      </c>
      <c r="M91" s="20">
        <v>0</v>
      </c>
      <c r="N91" s="20">
        <v>0</v>
      </c>
      <c r="O91" s="20">
        <v>1352.1</v>
      </c>
      <c r="P91" s="20">
        <v>740</v>
      </c>
      <c r="Q91" s="20">
        <v>375.5</v>
      </c>
      <c r="R91" s="20">
        <v>608.1</v>
      </c>
      <c r="S91" s="20">
        <v>105.5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</row>
    <row r="92" spans="1:25" x14ac:dyDescent="0.25">
      <c r="A92" s="27">
        <f t="shared" si="1"/>
        <v>46103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38.200000000000003</v>
      </c>
      <c r="H92" s="20">
        <v>143.5</v>
      </c>
      <c r="I92" s="20">
        <v>422.8</v>
      </c>
      <c r="J92" s="20">
        <v>1087.5</v>
      </c>
      <c r="K92" s="20">
        <v>1392.3</v>
      </c>
      <c r="L92" s="20">
        <v>0</v>
      </c>
      <c r="M92" s="20">
        <v>0</v>
      </c>
      <c r="N92" s="20">
        <v>0</v>
      </c>
      <c r="O92" s="20">
        <v>1344.4</v>
      </c>
      <c r="P92" s="20">
        <v>1392.3</v>
      </c>
      <c r="Q92" s="20">
        <v>1306.9000000000001</v>
      </c>
      <c r="R92" s="20">
        <v>160.19999999999999</v>
      </c>
      <c r="S92" s="20">
        <v>163.4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</row>
    <row r="93" spans="1:25" x14ac:dyDescent="0.25">
      <c r="A93" s="27">
        <f t="shared" si="1"/>
        <v>46104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38.4</v>
      </c>
      <c r="H93" s="20">
        <v>124.6</v>
      </c>
      <c r="I93" s="20">
        <v>354.3</v>
      </c>
      <c r="J93" s="20">
        <v>445.9</v>
      </c>
      <c r="K93" s="20">
        <v>211.2</v>
      </c>
      <c r="L93" s="20">
        <v>658.4</v>
      </c>
      <c r="M93" s="20">
        <v>1243.8</v>
      </c>
      <c r="N93" s="20">
        <v>1068.5</v>
      </c>
      <c r="O93" s="20">
        <v>1355.6</v>
      </c>
      <c r="P93" s="20">
        <v>321</v>
      </c>
      <c r="Q93" s="20">
        <v>1305.5</v>
      </c>
      <c r="R93" s="20">
        <v>304.7</v>
      </c>
      <c r="S93" s="20">
        <v>220.5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</row>
    <row r="94" spans="1:25" x14ac:dyDescent="0.25">
      <c r="A94" s="27">
        <f t="shared" si="1"/>
        <v>46105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36.700000000000003</v>
      </c>
      <c r="H94" s="20">
        <v>185.3</v>
      </c>
      <c r="I94" s="20">
        <v>536.1</v>
      </c>
      <c r="J94" s="20">
        <v>1041.5</v>
      </c>
      <c r="K94" s="20">
        <v>1395.9</v>
      </c>
      <c r="L94" s="20">
        <v>1054.5999999999999</v>
      </c>
      <c r="M94" s="20">
        <v>1010.4</v>
      </c>
      <c r="N94" s="20">
        <v>937.9</v>
      </c>
      <c r="O94" s="20">
        <v>778</v>
      </c>
      <c r="P94" s="20">
        <v>114.4</v>
      </c>
      <c r="Q94" s="20">
        <v>328.3</v>
      </c>
      <c r="R94" s="20">
        <v>312.89999999999998</v>
      </c>
      <c r="S94" s="20">
        <v>171.9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</row>
    <row r="95" spans="1:25" x14ac:dyDescent="0.25">
      <c r="A95" s="27">
        <f t="shared" si="1"/>
        <v>46106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37.200000000000003</v>
      </c>
      <c r="H95" s="20">
        <v>116.3</v>
      </c>
      <c r="I95" s="20">
        <v>223.6</v>
      </c>
      <c r="J95" s="20">
        <v>1096.9000000000001</v>
      </c>
      <c r="K95" s="20">
        <v>1373.6</v>
      </c>
      <c r="L95" s="20">
        <v>1008.7</v>
      </c>
      <c r="M95" s="20">
        <v>1380.4</v>
      </c>
      <c r="N95" s="20">
        <v>1295.4000000000001</v>
      </c>
      <c r="O95" s="20">
        <v>719.2</v>
      </c>
      <c r="P95" s="20">
        <v>395.6</v>
      </c>
      <c r="Q95" s="20">
        <v>320.3</v>
      </c>
      <c r="R95" s="20">
        <v>271.5</v>
      </c>
      <c r="S95" s="20">
        <v>53.6</v>
      </c>
      <c r="T95" s="20">
        <v>34.6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</row>
    <row r="96" spans="1:25" x14ac:dyDescent="0.25">
      <c r="A96" s="27">
        <f t="shared" si="1"/>
        <v>46107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38.299999999999997</v>
      </c>
      <c r="H96" s="20">
        <v>223.5</v>
      </c>
      <c r="I96" s="20">
        <v>322</v>
      </c>
      <c r="J96" s="20">
        <v>1089</v>
      </c>
      <c r="K96" s="20">
        <v>1393.9</v>
      </c>
      <c r="L96" s="20">
        <v>1313.7</v>
      </c>
      <c r="M96" s="20">
        <v>1312.8</v>
      </c>
      <c r="N96" s="20">
        <v>345.7</v>
      </c>
      <c r="O96" s="20">
        <v>1034.3</v>
      </c>
      <c r="P96" s="20">
        <v>288.8</v>
      </c>
      <c r="Q96" s="20">
        <v>565.9</v>
      </c>
      <c r="R96" s="20">
        <v>49.7</v>
      </c>
      <c r="S96" s="20">
        <v>27.7</v>
      </c>
      <c r="T96" s="20"/>
      <c r="U96" s="20">
        <v>0</v>
      </c>
      <c r="V96" s="20">
        <v>0</v>
      </c>
      <c r="W96" s="20">
        <v>0</v>
      </c>
      <c r="X96" s="20">
        <v>0</v>
      </c>
      <c r="Y96" s="20">
        <v>0</v>
      </c>
    </row>
    <row r="97" spans="1:35" x14ac:dyDescent="0.25">
      <c r="A97" s="27">
        <f t="shared" si="1"/>
        <v>46108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148.9</v>
      </c>
      <c r="I97" s="20">
        <v>613.6</v>
      </c>
      <c r="J97" s="20">
        <v>1065.4000000000001</v>
      </c>
      <c r="K97" s="20">
        <v>1395.4</v>
      </c>
      <c r="L97" s="20">
        <v>1029.2</v>
      </c>
      <c r="M97" s="20">
        <v>1054.3</v>
      </c>
      <c r="N97" s="20">
        <v>1337.5</v>
      </c>
      <c r="O97" s="20">
        <v>1395.6</v>
      </c>
      <c r="P97" s="20">
        <v>572.79999999999995</v>
      </c>
      <c r="Q97" s="20">
        <v>402.5</v>
      </c>
      <c r="R97" s="20">
        <v>476.6</v>
      </c>
      <c r="S97" s="20">
        <v>218.8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</row>
    <row r="98" spans="1:35" x14ac:dyDescent="0.25">
      <c r="A98" s="27">
        <f t="shared" si="1"/>
        <v>46109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158.4</v>
      </c>
      <c r="I98" s="20">
        <v>550</v>
      </c>
      <c r="J98" s="20">
        <v>1063.7</v>
      </c>
      <c r="K98" s="20">
        <v>1358.5</v>
      </c>
      <c r="L98" s="20">
        <v>1329</v>
      </c>
      <c r="M98" s="20">
        <v>1384.6</v>
      </c>
      <c r="N98" s="20">
        <v>575.6</v>
      </c>
      <c r="O98" s="20">
        <v>144.19999999999999</v>
      </c>
      <c r="P98" s="20">
        <v>342.1</v>
      </c>
      <c r="Q98" s="20">
        <v>359.2</v>
      </c>
      <c r="R98" s="20">
        <v>266.39999999999998</v>
      </c>
      <c r="S98" s="20">
        <v>138.19999999999999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</row>
    <row r="99" spans="1:35" x14ac:dyDescent="0.25">
      <c r="A99" s="27">
        <f t="shared" si="1"/>
        <v>46110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37</v>
      </c>
      <c r="H99" s="20">
        <v>177.5</v>
      </c>
      <c r="I99" s="20">
        <v>559.6</v>
      </c>
      <c r="J99" s="20">
        <v>1071.3</v>
      </c>
      <c r="K99" s="20">
        <v>1395.7</v>
      </c>
      <c r="L99" s="20">
        <v>1063.7</v>
      </c>
      <c r="M99" s="20">
        <v>1388.3</v>
      </c>
      <c r="N99" s="20">
        <v>1384.6</v>
      </c>
      <c r="O99" s="20">
        <v>575.6</v>
      </c>
      <c r="P99" s="20">
        <v>284.7</v>
      </c>
      <c r="Q99" s="20">
        <v>342.6</v>
      </c>
      <c r="R99" s="20">
        <v>325.7</v>
      </c>
      <c r="S99" s="20">
        <v>127.7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</row>
    <row r="100" spans="1:35" x14ac:dyDescent="0.25">
      <c r="A100" s="27">
        <f t="shared" si="1"/>
        <v>46111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35.299999999999997</v>
      </c>
      <c r="H100" s="20">
        <v>181.8</v>
      </c>
      <c r="I100" s="20">
        <v>560.1</v>
      </c>
      <c r="J100" s="20">
        <v>1057</v>
      </c>
      <c r="K100" s="20">
        <v>486</v>
      </c>
      <c r="L100" s="20">
        <v>627.1</v>
      </c>
      <c r="M100" s="20">
        <v>0</v>
      </c>
      <c r="N100" s="20">
        <v>1279.3</v>
      </c>
      <c r="O100" s="20">
        <v>1380</v>
      </c>
      <c r="P100" s="20">
        <v>343.6</v>
      </c>
      <c r="Q100" s="20">
        <v>86.9</v>
      </c>
      <c r="R100" s="20">
        <v>219.9</v>
      </c>
      <c r="S100" s="20">
        <v>85.7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</row>
    <row r="101" spans="1:35" x14ac:dyDescent="0.25">
      <c r="A101" s="27">
        <f t="shared" si="1"/>
        <v>46112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37</v>
      </c>
      <c r="H101" s="20">
        <v>201.5</v>
      </c>
      <c r="I101" s="20">
        <v>536.1</v>
      </c>
      <c r="J101" s="20">
        <v>1213.2</v>
      </c>
      <c r="K101" s="20">
        <v>1393.5</v>
      </c>
      <c r="L101" s="20">
        <v>1388.2</v>
      </c>
      <c r="M101" s="20">
        <v>1386.7</v>
      </c>
      <c r="N101" s="20">
        <v>885.9</v>
      </c>
      <c r="O101" s="20">
        <v>473.1</v>
      </c>
      <c r="P101" s="20">
        <v>107.9</v>
      </c>
      <c r="Q101" s="20">
        <v>114.6</v>
      </c>
      <c r="R101" s="20">
        <v>166.4</v>
      </c>
      <c r="S101" s="20">
        <v>158.5</v>
      </c>
      <c r="T101" s="20">
        <v>49.6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</row>
    <row r="102" spans="1:35" x14ac:dyDescent="0.25">
      <c r="A102" s="27">
        <f t="shared" si="1"/>
        <v>46113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38.799999999999997</v>
      </c>
      <c r="H102" s="20">
        <v>164.5</v>
      </c>
      <c r="I102" s="20">
        <v>609.20000000000005</v>
      </c>
      <c r="J102" s="20">
        <v>639</v>
      </c>
      <c r="K102" s="20">
        <v>882.6</v>
      </c>
      <c r="L102" s="20">
        <v>1258.9000000000001</v>
      </c>
      <c r="M102" s="20">
        <v>1369.9</v>
      </c>
      <c r="N102" s="20">
        <v>908.58</v>
      </c>
      <c r="O102" s="20">
        <v>890.9</v>
      </c>
      <c r="P102" s="20">
        <v>532.20000000000005</v>
      </c>
      <c r="Q102" s="20">
        <v>458.2</v>
      </c>
      <c r="R102" s="20">
        <v>180</v>
      </c>
      <c r="S102" s="20">
        <v>124.2</v>
      </c>
      <c r="T102" s="20">
        <v>36.6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</row>
    <row r="103" spans="1:35" x14ac:dyDescent="0.25">
      <c r="A103" s="27">
        <f t="shared" si="1"/>
        <v>46114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37.9</v>
      </c>
      <c r="H103" s="20">
        <v>160.19999999999999</v>
      </c>
      <c r="I103" s="20">
        <v>410</v>
      </c>
      <c r="J103" s="20">
        <v>742.6</v>
      </c>
      <c r="K103" s="20">
        <v>1387.5</v>
      </c>
      <c r="L103" s="20">
        <v>1361.7</v>
      </c>
      <c r="M103" s="20">
        <v>1308.2</v>
      </c>
      <c r="N103" s="20">
        <v>797.5</v>
      </c>
      <c r="O103" s="20">
        <v>496.1</v>
      </c>
      <c r="P103" s="20">
        <v>1369.3</v>
      </c>
      <c r="Q103" s="20">
        <v>686.3</v>
      </c>
      <c r="R103" s="20">
        <v>93.7</v>
      </c>
      <c r="S103" s="20">
        <v>165.5</v>
      </c>
      <c r="T103" s="20">
        <v>35.4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</row>
    <row r="104" spans="1:35" x14ac:dyDescent="0.25">
      <c r="A104" s="27">
        <f t="shared" si="1"/>
        <v>46115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36.4</v>
      </c>
      <c r="H104" s="20">
        <v>200.6</v>
      </c>
      <c r="I104" s="20">
        <v>564.5</v>
      </c>
      <c r="J104" s="20">
        <v>1188.8</v>
      </c>
      <c r="K104" s="20">
        <v>1379.6</v>
      </c>
      <c r="L104" s="20">
        <v>1344.5</v>
      </c>
      <c r="M104" s="20">
        <v>1380.3</v>
      </c>
      <c r="N104" s="20">
        <v>1359.2</v>
      </c>
      <c r="O104" s="20">
        <v>1389.3</v>
      </c>
      <c r="P104" s="20">
        <v>911.6</v>
      </c>
      <c r="Q104" s="20">
        <v>198.5</v>
      </c>
      <c r="R104" s="20">
        <v>159.1</v>
      </c>
      <c r="S104" s="20">
        <v>27.9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</row>
    <row r="105" spans="1:35" x14ac:dyDescent="0.25">
      <c r="A105" s="27">
        <f t="shared" si="1"/>
        <v>46116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192.3</v>
      </c>
      <c r="I105" s="20">
        <v>585.9</v>
      </c>
      <c r="J105" s="20">
        <v>1035.7</v>
      </c>
      <c r="K105" s="20">
        <v>1395.5</v>
      </c>
      <c r="L105" s="20">
        <v>1387.6</v>
      </c>
      <c r="M105" s="20">
        <v>729.1</v>
      </c>
      <c r="N105" s="20">
        <v>1353.4</v>
      </c>
      <c r="O105" s="20">
        <v>527.29999999999995</v>
      </c>
      <c r="P105" s="20">
        <v>348.8</v>
      </c>
      <c r="Q105" s="20">
        <v>410.2</v>
      </c>
      <c r="R105" s="20">
        <v>249.2</v>
      </c>
      <c r="S105" s="20">
        <v>139.80000000000001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</row>
    <row r="106" spans="1:35" x14ac:dyDescent="0.25">
      <c r="A106" s="27">
        <f t="shared" si="1"/>
        <v>46117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198</v>
      </c>
      <c r="I106" s="20">
        <v>508.2</v>
      </c>
      <c r="J106" s="20">
        <v>1127.9000000000001</v>
      </c>
      <c r="K106" s="20">
        <v>1394.9</v>
      </c>
      <c r="L106" s="20">
        <v>0</v>
      </c>
      <c r="M106" s="20">
        <v>1394.6</v>
      </c>
      <c r="N106" s="20">
        <v>1391</v>
      </c>
      <c r="O106" s="20">
        <v>1373.2</v>
      </c>
      <c r="P106" s="20">
        <v>132.80000000000001</v>
      </c>
      <c r="Q106" s="20">
        <v>336.9</v>
      </c>
      <c r="R106" s="20">
        <v>298.7</v>
      </c>
      <c r="S106" s="20">
        <v>136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</row>
    <row r="107" spans="1:35" x14ac:dyDescent="0.25">
      <c r="A107" s="27">
        <f t="shared" si="1"/>
        <v>46118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35.799999999999997</v>
      </c>
      <c r="H107" s="20">
        <v>188.3</v>
      </c>
      <c r="I107" s="20">
        <v>432.9</v>
      </c>
      <c r="J107" s="20">
        <v>946.5</v>
      </c>
      <c r="K107" s="20">
        <v>627.4</v>
      </c>
      <c r="L107" s="20">
        <v>1295.3</v>
      </c>
      <c r="M107" s="20">
        <v>1393.4</v>
      </c>
      <c r="N107" s="20">
        <v>1390.7</v>
      </c>
      <c r="O107" s="20">
        <v>1370.3</v>
      </c>
      <c r="P107" s="20">
        <v>746.4</v>
      </c>
      <c r="Q107" s="20">
        <v>507.1</v>
      </c>
      <c r="R107" s="20">
        <v>635.20000000000005</v>
      </c>
      <c r="S107" s="20">
        <v>162.30000000000001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</row>
    <row r="108" spans="1:35" x14ac:dyDescent="0.25">
      <c r="A108" s="27">
        <f t="shared" si="1"/>
        <v>46119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35.1</v>
      </c>
      <c r="H108" s="20">
        <v>148.19999999999999</v>
      </c>
      <c r="I108" s="20">
        <v>215.1</v>
      </c>
      <c r="J108" s="20">
        <v>1017</v>
      </c>
      <c r="K108" s="20">
        <v>1364.9</v>
      </c>
      <c r="L108" s="20">
        <v>1384.4</v>
      </c>
      <c r="M108" s="20">
        <v>1322.1</v>
      </c>
      <c r="N108" s="20">
        <v>866.7</v>
      </c>
      <c r="O108" s="20">
        <v>1312</v>
      </c>
      <c r="P108" s="20">
        <v>1370.9</v>
      </c>
      <c r="Q108" s="20">
        <v>437.1</v>
      </c>
      <c r="R108" s="20">
        <v>268.2</v>
      </c>
      <c r="S108" s="20">
        <v>152.9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</row>
    <row r="109" spans="1:35" x14ac:dyDescent="0.25">
      <c r="A109" s="27">
        <f t="shared" si="1"/>
        <v>46120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34.4</v>
      </c>
      <c r="H109" s="20">
        <v>154.1</v>
      </c>
      <c r="I109" s="20">
        <v>515.5</v>
      </c>
      <c r="J109" s="20">
        <v>677.6</v>
      </c>
      <c r="K109" s="20">
        <v>995.6</v>
      </c>
      <c r="L109" s="20">
        <v>1392.5</v>
      </c>
      <c r="M109" s="20">
        <v>1015.2</v>
      </c>
      <c r="N109" s="20">
        <v>1349.8</v>
      </c>
      <c r="O109" s="20">
        <v>241.1</v>
      </c>
      <c r="P109" s="20">
        <v>1137.8</v>
      </c>
      <c r="Q109" s="20">
        <v>893.1</v>
      </c>
      <c r="R109" s="20">
        <v>509.2</v>
      </c>
      <c r="S109" s="20">
        <v>263.3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</row>
    <row r="110" spans="1:35" x14ac:dyDescent="0.25">
      <c r="A110" s="27">
        <f t="shared" si="1"/>
        <v>46121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34.799999999999997</v>
      </c>
      <c r="H110" s="20">
        <v>159</v>
      </c>
      <c r="I110" s="20">
        <v>352.6</v>
      </c>
      <c r="J110" s="20">
        <v>1393.3</v>
      </c>
      <c r="K110" s="20">
        <v>1394.4</v>
      </c>
      <c r="L110" s="20">
        <v>1351.2</v>
      </c>
      <c r="M110" s="20">
        <v>1340.2</v>
      </c>
      <c r="N110" s="20">
        <v>841.6</v>
      </c>
      <c r="O110" s="20">
        <v>1094.0999999999999</v>
      </c>
      <c r="P110" s="20">
        <v>1387.6</v>
      </c>
      <c r="Q110" s="20">
        <v>928.9</v>
      </c>
      <c r="R110" s="20">
        <v>216.2</v>
      </c>
      <c r="S110" s="20">
        <v>78.8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</row>
    <row r="111" spans="1:35" x14ac:dyDescent="0.25">
      <c r="A111" s="27">
        <f t="shared" si="1"/>
        <v>46122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35.700000000000003</v>
      </c>
      <c r="H111" s="20">
        <v>199.6</v>
      </c>
      <c r="I111" s="20">
        <v>543.70000000000005</v>
      </c>
      <c r="J111" s="20">
        <v>1045.8</v>
      </c>
      <c r="K111" s="20">
        <v>1378.2</v>
      </c>
      <c r="L111" s="20">
        <v>1340.2</v>
      </c>
      <c r="M111" s="20">
        <v>560.4</v>
      </c>
      <c r="N111" s="20">
        <v>1091.5999999999999</v>
      </c>
      <c r="O111" s="20">
        <v>369.9</v>
      </c>
      <c r="P111" s="20">
        <v>329</v>
      </c>
      <c r="Q111" s="20">
        <v>1330.8</v>
      </c>
      <c r="R111" s="20">
        <v>332.7</v>
      </c>
      <c r="S111" s="20">
        <v>68.8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</row>
    <row r="112" spans="1:35" x14ac:dyDescent="0.25">
      <c r="A112" s="27">
        <f t="shared" si="1"/>
        <v>46123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37.299999999999997</v>
      </c>
      <c r="H112" s="20">
        <v>239.9</v>
      </c>
      <c r="I112" s="20">
        <v>497.3</v>
      </c>
      <c r="J112" s="20">
        <v>1065.3</v>
      </c>
      <c r="K112" s="20">
        <v>1020.3</v>
      </c>
      <c r="L112" s="20">
        <v>1382.4</v>
      </c>
      <c r="M112" s="20">
        <v>1071.5999999999999</v>
      </c>
      <c r="N112" s="20">
        <v>1181.4000000000001</v>
      </c>
      <c r="O112" s="20">
        <v>1132.2</v>
      </c>
      <c r="P112" s="20">
        <v>983.1</v>
      </c>
      <c r="Q112" s="20">
        <v>706.3</v>
      </c>
      <c r="R112" s="20">
        <v>320.2</v>
      </c>
      <c r="S112" s="20">
        <v>137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</row>
    <row r="113" spans="1:25" x14ac:dyDescent="0.25">
      <c r="A113" s="27">
        <f t="shared" si="1"/>
        <v>46124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35.6</v>
      </c>
      <c r="H113" s="20">
        <v>205.6</v>
      </c>
      <c r="I113" s="20">
        <v>371.5</v>
      </c>
      <c r="J113" s="20">
        <v>674.5</v>
      </c>
      <c r="K113" s="20">
        <v>1328.5</v>
      </c>
      <c r="L113" s="20">
        <v>938.5</v>
      </c>
      <c r="M113" s="20">
        <v>456.8</v>
      </c>
      <c r="N113" s="20">
        <v>534.29999999999995</v>
      </c>
      <c r="O113" s="20">
        <v>498.2</v>
      </c>
      <c r="P113" s="20">
        <v>488.7</v>
      </c>
      <c r="Q113" s="20">
        <v>540.29999999999995</v>
      </c>
      <c r="R113" s="20">
        <v>276.39999999999998</v>
      </c>
      <c r="S113" s="20">
        <v>124.6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</row>
    <row r="114" spans="1:25" x14ac:dyDescent="0.25">
      <c r="A114" s="27">
        <f t="shared" si="1"/>
        <v>46125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35.200000000000003</v>
      </c>
      <c r="H114" s="20">
        <v>182.7</v>
      </c>
      <c r="I114" s="20">
        <v>582.1</v>
      </c>
      <c r="J114" s="20">
        <v>1032.7</v>
      </c>
      <c r="K114" s="20">
        <v>1394.4</v>
      </c>
      <c r="L114" s="20">
        <v>1363.5</v>
      </c>
      <c r="M114" s="20">
        <v>890.6</v>
      </c>
      <c r="N114" s="20">
        <v>1321.9</v>
      </c>
      <c r="O114" s="20">
        <v>1162</v>
      </c>
      <c r="P114" s="20">
        <v>580.29999999999995</v>
      </c>
      <c r="Q114" s="20">
        <v>350.1</v>
      </c>
      <c r="R114" s="20">
        <v>392.5</v>
      </c>
      <c r="S114" s="20">
        <v>129.30000000000001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</row>
    <row r="115" spans="1:25" x14ac:dyDescent="0.25">
      <c r="A115" s="27">
        <f t="shared" si="1"/>
        <v>46126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36.6</v>
      </c>
      <c r="H115" s="20">
        <v>279.2</v>
      </c>
      <c r="I115" s="20">
        <v>737.4</v>
      </c>
      <c r="J115" s="20">
        <v>1296.5999999999999</v>
      </c>
      <c r="K115" s="20">
        <v>1393.3</v>
      </c>
      <c r="L115" s="20">
        <v>1303.5</v>
      </c>
      <c r="M115" s="20">
        <v>1380.9</v>
      </c>
      <c r="N115" s="20">
        <v>1324.4</v>
      </c>
      <c r="O115" s="20">
        <v>1335.1</v>
      </c>
      <c r="P115" s="20">
        <v>1357.2</v>
      </c>
      <c r="Q115" s="20">
        <v>824.8</v>
      </c>
      <c r="R115" s="20">
        <v>321.39999999999998</v>
      </c>
      <c r="S115" s="20">
        <v>131.9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</row>
    <row r="116" spans="1:25" x14ac:dyDescent="0.25">
      <c r="A116" s="27">
        <f t="shared" si="1"/>
        <v>46127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34.6</v>
      </c>
      <c r="H116" s="20">
        <v>214.4</v>
      </c>
      <c r="I116" s="20">
        <v>602</v>
      </c>
      <c r="J116" s="20">
        <v>1058.4000000000001</v>
      </c>
      <c r="K116" s="20">
        <v>933.8</v>
      </c>
      <c r="L116" s="20">
        <v>881.4</v>
      </c>
      <c r="M116" s="20">
        <v>1184.7</v>
      </c>
      <c r="N116" s="20">
        <v>1174</v>
      </c>
      <c r="O116" s="20">
        <v>415.3</v>
      </c>
      <c r="P116" s="20">
        <v>705</v>
      </c>
      <c r="Q116" s="20">
        <v>655.29999999999995</v>
      </c>
      <c r="R116" s="20">
        <v>248.6</v>
      </c>
      <c r="S116" s="20">
        <v>43.2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</row>
    <row r="117" spans="1:25" x14ac:dyDescent="0.25">
      <c r="A117" s="27">
        <f t="shared" si="1"/>
        <v>46128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40.6</v>
      </c>
      <c r="H117" s="20">
        <v>203.7</v>
      </c>
      <c r="I117" s="20">
        <v>467.8</v>
      </c>
      <c r="J117" s="20">
        <v>785.1</v>
      </c>
      <c r="K117" s="20">
        <v>1391.2</v>
      </c>
      <c r="L117" s="20">
        <v>1378.2</v>
      </c>
      <c r="M117" s="20">
        <v>839</v>
      </c>
      <c r="N117" s="20">
        <v>1173.9000000000001</v>
      </c>
      <c r="O117" s="20">
        <v>1393.7</v>
      </c>
      <c r="P117" s="20">
        <v>788.2</v>
      </c>
      <c r="Q117" s="20">
        <v>314.60000000000002</v>
      </c>
      <c r="R117" s="20">
        <v>168.9</v>
      </c>
      <c r="S117" s="20">
        <v>66.599999999999994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</row>
    <row r="118" spans="1:25" x14ac:dyDescent="0.25">
      <c r="A118" s="27">
        <f t="shared" si="1"/>
        <v>46129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38.6</v>
      </c>
      <c r="H118" s="20">
        <v>247.4</v>
      </c>
      <c r="I118" s="20">
        <v>461</v>
      </c>
      <c r="J118" s="20">
        <v>1376.3</v>
      </c>
      <c r="K118" s="20">
        <v>0</v>
      </c>
      <c r="L118" s="20">
        <v>0</v>
      </c>
      <c r="M118" s="20">
        <v>1292.0999999999999</v>
      </c>
      <c r="N118" s="20">
        <v>774</v>
      </c>
      <c r="O118" s="20">
        <v>1387</v>
      </c>
      <c r="P118" s="20">
        <v>507.5</v>
      </c>
      <c r="Q118" s="20">
        <v>389.8</v>
      </c>
      <c r="R118" s="20">
        <v>607.9</v>
      </c>
      <c r="S118" s="20">
        <v>185.1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</row>
    <row r="119" spans="1:25" x14ac:dyDescent="0.25">
      <c r="A119" s="27">
        <f t="shared" si="1"/>
        <v>46130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38.700000000000003</v>
      </c>
      <c r="H119" s="20">
        <v>310.2</v>
      </c>
      <c r="I119" s="20">
        <v>760.2</v>
      </c>
      <c r="J119" s="20">
        <v>1223.7</v>
      </c>
      <c r="K119" s="20">
        <v>1395.7</v>
      </c>
      <c r="L119" s="20">
        <v>553.5</v>
      </c>
      <c r="M119" s="20">
        <v>1345.3</v>
      </c>
      <c r="N119" s="20">
        <v>1382.3</v>
      </c>
      <c r="O119" s="20">
        <v>1338.9</v>
      </c>
      <c r="P119" s="20">
        <v>1074.2</v>
      </c>
      <c r="Q119" s="20">
        <v>266.3</v>
      </c>
      <c r="R119" s="20">
        <v>194</v>
      </c>
      <c r="S119" s="20">
        <v>47.7</v>
      </c>
      <c r="T119" s="20">
        <v>32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</row>
    <row r="120" spans="1:25" x14ac:dyDescent="0.25">
      <c r="A120" s="27">
        <f t="shared" si="1"/>
        <v>46131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38.700000000000003</v>
      </c>
      <c r="H120" s="20">
        <v>310.2</v>
      </c>
      <c r="I120" s="20">
        <v>760.2</v>
      </c>
      <c r="J120" s="20">
        <v>1223.7</v>
      </c>
      <c r="K120" s="20">
        <v>0</v>
      </c>
      <c r="L120" s="20">
        <v>0</v>
      </c>
      <c r="M120" s="20">
        <v>553.5</v>
      </c>
      <c r="N120" s="20">
        <v>1382.3</v>
      </c>
      <c r="O120" s="20">
        <v>1338.9</v>
      </c>
      <c r="P120" s="20">
        <v>1074.2</v>
      </c>
      <c r="Q120" s="20">
        <v>266.3</v>
      </c>
      <c r="R120" s="20">
        <v>194</v>
      </c>
      <c r="S120" s="20">
        <v>47.7</v>
      </c>
      <c r="T120" s="20">
        <v>32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</row>
    <row r="121" spans="1:25" x14ac:dyDescent="0.25">
      <c r="A121" s="27">
        <f t="shared" si="1"/>
        <v>46132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292.39999999999998</v>
      </c>
      <c r="I121" s="20">
        <v>773.9</v>
      </c>
      <c r="J121" s="20">
        <v>1223.8</v>
      </c>
      <c r="K121" s="20">
        <v>1333.9</v>
      </c>
      <c r="L121" s="20">
        <v>1363.7</v>
      </c>
      <c r="M121" s="20">
        <v>0</v>
      </c>
      <c r="N121" s="20">
        <v>1380.7</v>
      </c>
      <c r="O121" s="20">
        <v>1375.7</v>
      </c>
      <c r="P121" s="20">
        <v>0</v>
      </c>
      <c r="Q121" s="20">
        <v>980.1</v>
      </c>
      <c r="R121" s="20">
        <v>437.7</v>
      </c>
      <c r="S121" s="20">
        <v>182.6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</row>
    <row r="122" spans="1:25" x14ac:dyDescent="0.25">
      <c r="A122" s="27">
        <f t="shared" si="1"/>
        <v>46133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271.3</v>
      </c>
      <c r="I122" s="20">
        <v>730.3</v>
      </c>
      <c r="J122" s="20">
        <v>832.2</v>
      </c>
      <c r="K122" s="20">
        <v>1384.4</v>
      </c>
      <c r="L122" s="20">
        <v>702.3</v>
      </c>
      <c r="M122" s="20">
        <v>470.5</v>
      </c>
      <c r="N122" s="20">
        <v>603.1</v>
      </c>
      <c r="O122" s="20">
        <v>0</v>
      </c>
      <c r="P122" s="20">
        <v>291</v>
      </c>
      <c r="Q122" s="20">
        <v>110.7</v>
      </c>
      <c r="R122" s="20">
        <v>244</v>
      </c>
      <c r="S122" s="20">
        <v>62.7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</row>
    <row r="123" spans="1:25" x14ac:dyDescent="0.25">
      <c r="A123" s="27">
        <f t="shared" si="1"/>
        <v>46134</v>
      </c>
      <c r="B123" s="20">
        <v>0</v>
      </c>
      <c r="C123" s="20">
        <v>0</v>
      </c>
      <c r="D123" s="20">
        <v>0</v>
      </c>
      <c r="E123" s="20">
        <v>0</v>
      </c>
      <c r="F123" s="20">
        <v>0</v>
      </c>
      <c r="G123" s="20">
        <v>42.3</v>
      </c>
      <c r="H123" s="20">
        <v>210.6</v>
      </c>
      <c r="I123" s="20">
        <v>793.6</v>
      </c>
      <c r="J123" s="20">
        <v>1148.7</v>
      </c>
      <c r="K123" s="20">
        <v>0</v>
      </c>
      <c r="L123" s="20">
        <v>0</v>
      </c>
      <c r="M123" s="20">
        <v>507.8</v>
      </c>
      <c r="N123" s="20">
        <v>590.20000000000005</v>
      </c>
      <c r="O123" s="20">
        <v>473.5</v>
      </c>
      <c r="P123" s="20">
        <v>71.8</v>
      </c>
      <c r="Q123" s="20">
        <v>125.9</v>
      </c>
      <c r="R123" s="20">
        <v>203.8</v>
      </c>
      <c r="S123" s="20">
        <v>114.2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</row>
    <row r="124" spans="1:25" x14ac:dyDescent="0.25">
      <c r="A124" s="27">
        <f t="shared" si="1"/>
        <v>46135</v>
      </c>
      <c r="B124" s="20">
        <v>0</v>
      </c>
      <c r="C124" s="20">
        <v>0</v>
      </c>
      <c r="D124" s="20">
        <v>0</v>
      </c>
      <c r="E124" s="20">
        <v>0</v>
      </c>
      <c r="F124" s="20">
        <v>0</v>
      </c>
      <c r="G124" s="20">
        <v>39.700000000000003</v>
      </c>
      <c r="H124" s="20">
        <v>289.2</v>
      </c>
      <c r="I124" s="20">
        <v>446.3</v>
      </c>
      <c r="J124" s="20">
        <v>1334.1</v>
      </c>
      <c r="K124" s="20">
        <v>689.3</v>
      </c>
      <c r="L124" s="20">
        <v>660.3</v>
      </c>
      <c r="M124" s="20">
        <v>1374.6</v>
      </c>
      <c r="N124" s="20">
        <v>977.4</v>
      </c>
      <c r="O124" s="20">
        <v>391.4</v>
      </c>
      <c r="P124" s="20">
        <v>417.9</v>
      </c>
      <c r="Q124" s="20">
        <v>44.3</v>
      </c>
      <c r="R124" s="20">
        <v>63.2</v>
      </c>
      <c r="S124" s="20">
        <v>49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</row>
    <row r="125" spans="1:25" x14ac:dyDescent="0.25">
      <c r="A125" s="27">
        <f t="shared" si="1"/>
        <v>46136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39.299999999999997</v>
      </c>
      <c r="H125" s="20">
        <v>156.80000000000001</v>
      </c>
      <c r="I125" s="20">
        <v>361.7</v>
      </c>
      <c r="J125" s="20">
        <v>507.5</v>
      </c>
      <c r="K125" s="20">
        <v>1395</v>
      </c>
      <c r="L125" s="20">
        <v>1273.7</v>
      </c>
      <c r="M125" s="20">
        <v>1392.3</v>
      </c>
      <c r="N125" s="20">
        <v>738.4</v>
      </c>
      <c r="O125" s="20">
        <v>899.7</v>
      </c>
      <c r="P125" s="20">
        <v>1369.3</v>
      </c>
      <c r="Q125" s="20">
        <v>854.4</v>
      </c>
      <c r="R125" s="20">
        <v>263.39999999999998</v>
      </c>
      <c r="S125" s="20">
        <v>148.6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</row>
    <row r="126" spans="1:25" x14ac:dyDescent="0.25">
      <c r="A126" s="27">
        <f t="shared" si="1"/>
        <v>46137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303.89999999999998</v>
      </c>
      <c r="I126" s="20">
        <v>608</v>
      </c>
      <c r="J126" s="20">
        <v>717.6</v>
      </c>
      <c r="K126" s="20">
        <v>1388.2</v>
      </c>
      <c r="L126" s="20">
        <v>1355.3</v>
      </c>
      <c r="M126" s="20">
        <v>643.4</v>
      </c>
      <c r="N126" s="20">
        <v>626.1</v>
      </c>
      <c r="O126" s="20">
        <v>795.6</v>
      </c>
      <c r="P126" s="20">
        <v>651.70000000000005</v>
      </c>
      <c r="Q126" s="20">
        <v>583.5</v>
      </c>
      <c r="R126" s="20">
        <v>272.7</v>
      </c>
      <c r="S126" s="20">
        <v>65.599999999999994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</row>
    <row r="127" spans="1:25" x14ac:dyDescent="0.25">
      <c r="A127" s="27">
        <f t="shared" si="1"/>
        <v>46138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42.2</v>
      </c>
      <c r="H127" s="20">
        <v>310.10000000000002</v>
      </c>
      <c r="I127" s="20">
        <v>454.1</v>
      </c>
      <c r="J127" s="20">
        <v>1113.5</v>
      </c>
      <c r="K127" s="20">
        <v>1386</v>
      </c>
      <c r="L127" s="20">
        <v>1391.8</v>
      </c>
      <c r="M127" s="20">
        <v>663.7</v>
      </c>
      <c r="N127" s="20">
        <v>694.7</v>
      </c>
      <c r="O127" s="20">
        <v>1384.9</v>
      </c>
      <c r="P127" s="20">
        <v>1394.4</v>
      </c>
      <c r="Q127" s="20">
        <v>300.8</v>
      </c>
      <c r="R127" s="20">
        <v>412.6</v>
      </c>
      <c r="S127" s="20">
        <v>161.80000000000001</v>
      </c>
      <c r="T127" s="20">
        <v>32.1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</row>
    <row r="128" spans="1:25" x14ac:dyDescent="0.25">
      <c r="A128" s="27">
        <f t="shared" si="1"/>
        <v>46139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251.8</v>
      </c>
      <c r="I128" s="20">
        <v>259.3</v>
      </c>
      <c r="J128" s="20">
        <v>889.9</v>
      </c>
      <c r="K128" s="20">
        <v>765.8</v>
      </c>
      <c r="L128" s="20">
        <v>1362.4</v>
      </c>
      <c r="M128" s="20">
        <v>1079.7</v>
      </c>
      <c r="N128" s="20">
        <v>928.1</v>
      </c>
      <c r="O128" s="20">
        <v>1384.8</v>
      </c>
      <c r="P128" s="20">
        <v>1393.5</v>
      </c>
      <c r="Q128" s="20">
        <v>274.7</v>
      </c>
      <c r="R128" s="20">
        <v>235.7</v>
      </c>
      <c r="S128" s="20">
        <v>76.2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</row>
    <row r="129" spans="1:35" x14ac:dyDescent="0.25">
      <c r="A129" s="27">
        <f t="shared" si="1"/>
        <v>46140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157.9</v>
      </c>
      <c r="I129" s="20">
        <v>755.4</v>
      </c>
      <c r="J129" s="20">
        <v>1204.3</v>
      </c>
      <c r="K129" s="20">
        <v>1344.4</v>
      </c>
      <c r="L129" s="20">
        <v>630.29999999999995</v>
      </c>
      <c r="M129" s="20">
        <v>1394.3</v>
      </c>
      <c r="N129" s="20">
        <v>1389.3</v>
      </c>
      <c r="O129" s="20">
        <v>1142.9000000000001</v>
      </c>
      <c r="P129" s="20">
        <v>1384.1</v>
      </c>
      <c r="Q129" s="20">
        <v>234</v>
      </c>
      <c r="R129" s="20">
        <v>152.19999999999999</v>
      </c>
      <c r="S129" s="20">
        <v>140.30000000000001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</row>
    <row r="130" spans="1:35" x14ac:dyDescent="0.25">
      <c r="A130" s="27">
        <f t="shared" si="1"/>
        <v>46141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285.10000000000002</v>
      </c>
      <c r="I130" s="20">
        <v>735.3</v>
      </c>
      <c r="J130" s="20">
        <v>1195.3</v>
      </c>
      <c r="K130" s="20">
        <v>0</v>
      </c>
      <c r="L130" s="20">
        <v>383.3</v>
      </c>
      <c r="M130" s="20">
        <v>0</v>
      </c>
      <c r="N130" s="20">
        <v>1380</v>
      </c>
      <c r="O130" s="20">
        <v>1390.8</v>
      </c>
      <c r="P130" s="20">
        <v>1359.1</v>
      </c>
      <c r="Q130" s="20">
        <v>1009.3</v>
      </c>
      <c r="R130" s="20"/>
      <c r="S130" s="20">
        <v>224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</row>
    <row r="131" spans="1:35" x14ac:dyDescent="0.25">
      <c r="A131" s="27">
        <f t="shared" si="1"/>
        <v>46142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21.1</v>
      </c>
      <c r="I131" s="20">
        <v>270.3</v>
      </c>
      <c r="J131" s="20">
        <v>516.4</v>
      </c>
      <c r="K131" s="20">
        <v>772.8</v>
      </c>
      <c r="L131" s="20">
        <v>905.9</v>
      </c>
      <c r="M131" s="20">
        <v>872</v>
      </c>
      <c r="N131" s="20">
        <v>314.8</v>
      </c>
      <c r="O131" s="20">
        <v>387.7</v>
      </c>
      <c r="P131" s="20">
        <v>91.4</v>
      </c>
      <c r="Q131" s="20">
        <v>223</v>
      </c>
      <c r="R131" s="20">
        <v>295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</row>
    <row r="132" spans="1:35" x14ac:dyDescent="0.25">
      <c r="A132" s="27">
        <f t="shared" si="1"/>
        <v>46143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12.7</v>
      </c>
      <c r="I132" s="20">
        <v>152</v>
      </c>
      <c r="J132" s="20">
        <v>359.3</v>
      </c>
      <c r="K132" s="20">
        <v>885.3</v>
      </c>
      <c r="L132" s="20">
        <v>184.8</v>
      </c>
      <c r="M132" s="20">
        <v>248.9</v>
      </c>
      <c r="N132" s="20">
        <v>164.2</v>
      </c>
      <c r="O132" s="20">
        <v>302.5</v>
      </c>
      <c r="P132" s="20">
        <v>70.3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</row>
    <row r="133" spans="1:35" x14ac:dyDescent="0.25">
      <c r="A133" s="27">
        <f t="shared" si="1"/>
        <v>46144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38.6</v>
      </c>
      <c r="H133" s="20">
        <v>214.5</v>
      </c>
      <c r="I133" s="20">
        <v>419.9</v>
      </c>
      <c r="J133" s="20">
        <v>696</v>
      </c>
      <c r="K133" s="20">
        <v>751.8</v>
      </c>
      <c r="L133" s="20">
        <v>723.6</v>
      </c>
      <c r="M133" s="20">
        <v>1115.4000000000001</v>
      </c>
      <c r="N133" s="20">
        <v>1085.0999999999999</v>
      </c>
      <c r="O133" s="20">
        <v>1055.5999999999999</v>
      </c>
      <c r="P133" s="20">
        <v>948.6</v>
      </c>
      <c r="Q133" s="20">
        <v>633.29999999999995</v>
      </c>
      <c r="R133" s="20">
        <v>384.1</v>
      </c>
      <c r="S133" s="20">
        <v>40.299999999999997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</row>
    <row r="134" spans="1:35" x14ac:dyDescent="0.25">
      <c r="A134" s="27">
        <f t="shared" si="1"/>
        <v>46145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43.3</v>
      </c>
      <c r="H134" s="20">
        <v>338.4</v>
      </c>
      <c r="I134" s="20">
        <v>520.5</v>
      </c>
      <c r="J134" s="20">
        <v>923.6</v>
      </c>
      <c r="K134" s="20">
        <v>1356.9</v>
      </c>
      <c r="L134" s="20">
        <v>1376.9</v>
      </c>
      <c r="M134" s="20">
        <v>1354</v>
      </c>
      <c r="N134" s="20">
        <v>683.4</v>
      </c>
      <c r="O134" s="20">
        <v>1394.7</v>
      </c>
      <c r="P134" s="20">
        <v>1373.3</v>
      </c>
      <c r="Q134" s="20">
        <v>233.1</v>
      </c>
      <c r="R134" s="20">
        <v>201.2</v>
      </c>
      <c r="S134" s="20">
        <v>140.4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</row>
    <row r="135" spans="1:35" x14ac:dyDescent="0.25">
      <c r="A135" s="27">
        <f t="shared" si="1"/>
        <v>46146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215</v>
      </c>
      <c r="I135" s="20">
        <v>700.2</v>
      </c>
      <c r="J135" s="20">
        <v>1188</v>
      </c>
      <c r="K135" s="20">
        <v>1393.1</v>
      </c>
      <c r="L135" s="20">
        <v>1381</v>
      </c>
      <c r="M135" s="20">
        <v>1392.3</v>
      </c>
      <c r="N135" s="20">
        <v>708.9</v>
      </c>
      <c r="O135" s="20">
        <v>1392.3</v>
      </c>
      <c r="P135" s="20">
        <v>739.6</v>
      </c>
      <c r="Q135" s="20">
        <v>389.9</v>
      </c>
      <c r="R135" s="20">
        <v>241.6</v>
      </c>
      <c r="S135" s="20">
        <v>44.1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</row>
    <row r="136" spans="1:35" x14ac:dyDescent="0.25">
      <c r="A136" s="27">
        <f t="shared" si="1"/>
        <v>46147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304.8</v>
      </c>
      <c r="I136" s="20">
        <v>389.2</v>
      </c>
      <c r="J136" s="20">
        <v>689.5</v>
      </c>
      <c r="K136" s="20">
        <v>1359.3</v>
      </c>
      <c r="L136" s="20">
        <v>1389.2</v>
      </c>
      <c r="M136" s="20">
        <v>1383.3</v>
      </c>
      <c r="N136" s="20">
        <v>720.4</v>
      </c>
      <c r="O136" s="20">
        <v>480.9</v>
      </c>
      <c r="P136" s="20">
        <v>51.3</v>
      </c>
      <c r="Q136" s="20">
        <v>40.799999999999997</v>
      </c>
      <c r="R136" s="20">
        <v>47.7</v>
      </c>
      <c r="S136" s="20">
        <v>37.1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</row>
    <row r="137" spans="1:35" x14ac:dyDescent="0.25">
      <c r="A137" s="27">
        <f t="shared" si="1"/>
        <v>46148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266.3</v>
      </c>
      <c r="I137" s="20">
        <v>714</v>
      </c>
      <c r="J137" s="20">
        <v>1187.4000000000001</v>
      </c>
      <c r="K137" s="20">
        <v>907.9</v>
      </c>
      <c r="L137" s="20">
        <v>1388.1</v>
      </c>
      <c r="M137" s="20">
        <v>1029.4000000000001</v>
      </c>
      <c r="N137" s="20">
        <v>1337.3</v>
      </c>
      <c r="O137" s="20">
        <v>892.1</v>
      </c>
      <c r="P137" s="20">
        <v>663.1</v>
      </c>
      <c r="Q137" s="20">
        <v>48.3</v>
      </c>
      <c r="R137" s="20">
        <v>191.4</v>
      </c>
      <c r="S137" s="20">
        <v>152.19999999999999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</row>
    <row r="138" spans="1:35" x14ac:dyDescent="0.25">
      <c r="A138" s="27">
        <f t="shared" si="1"/>
        <v>46149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259.5</v>
      </c>
      <c r="I138" s="20">
        <v>589.6</v>
      </c>
      <c r="J138" s="20">
        <v>943.5</v>
      </c>
      <c r="K138" s="20">
        <v>1329.9</v>
      </c>
      <c r="L138" s="20">
        <v>909.8</v>
      </c>
      <c r="M138" s="20">
        <v>1207.5999999999999</v>
      </c>
      <c r="N138" s="20">
        <v>1377.2</v>
      </c>
      <c r="O138" s="20">
        <v>540.5</v>
      </c>
      <c r="P138" s="20">
        <v>766.2</v>
      </c>
      <c r="Q138" s="20">
        <v>570.29999999999995</v>
      </c>
      <c r="R138" s="20">
        <v>302.2</v>
      </c>
      <c r="S138" s="20">
        <v>146.1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</row>
    <row r="139" spans="1:35" x14ac:dyDescent="0.25">
      <c r="A139" s="27">
        <f t="shared" si="1"/>
        <v>46150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43.8</v>
      </c>
      <c r="I139" s="20">
        <v>306.10000000000002</v>
      </c>
      <c r="J139" s="20">
        <v>503.2</v>
      </c>
      <c r="K139" s="20">
        <v>211.2</v>
      </c>
      <c r="L139" s="20">
        <v>996.7</v>
      </c>
      <c r="M139" s="20">
        <v>980.9</v>
      </c>
      <c r="N139" s="20">
        <v>975.2</v>
      </c>
      <c r="O139" s="20">
        <v>1009.5</v>
      </c>
      <c r="P139" s="20">
        <v>701.3</v>
      </c>
      <c r="Q139" s="20">
        <v>219.9</v>
      </c>
      <c r="R139" s="20">
        <v>175.7</v>
      </c>
      <c r="S139" s="20">
        <v>41.7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</row>
    <row r="140" spans="1:35" x14ac:dyDescent="0.25">
      <c r="A140" s="27">
        <f t="shared" si="1"/>
        <v>46151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28.7</v>
      </c>
      <c r="I140" s="20">
        <v>224.2</v>
      </c>
      <c r="J140" s="20">
        <v>540.9</v>
      </c>
      <c r="K140" s="20">
        <v>802.7</v>
      </c>
      <c r="L140" s="20">
        <v>915</v>
      </c>
      <c r="M140" s="20">
        <v>253.6</v>
      </c>
      <c r="N140" s="20">
        <v>196</v>
      </c>
      <c r="O140" s="20">
        <v>936</v>
      </c>
      <c r="P140" s="20">
        <v>808.5</v>
      </c>
      <c r="Q140" s="20">
        <v>474.3</v>
      </c>
      <c r="R140" s="20">
        <v>228</v>
      </c>
      <c r="S140" s="20">
        <v>34.200000000000003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</row>
    <row r="141" spans="1:35" x14ac:dyDescent="0.25">
      <c r="A141" s="27">
        <f t="shared" si="1"/>
        <v>46152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30.9</v>
      </c>
      <c r="I141" s="20">
        <v>303.8</v>
      </c>
      <c r="J141" s="20">
        <v>535.6</v>
      </c>
      <c r="K141" s="20">
        <v>722.5</v>
      </c>
      <c r="L141" s="20">
        <v>856.2</v>
      </c>
      <c r="M141" s="20">
        <v>1001.6</v>
      </c>
      <c r="N141" s="20">
        <v>984.1</v>
      </c>
      <c r="O141" s="20">
        <v>897.4</v>
      </c>
      <c r="P141" s="20">
        <v>199.3</v>
      </c>
      <c r="Q141" s="20">
        <v>14</v>
      </c>
      <c r="R141" s="20">
        <v>26.6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</row>
    <row r="142" spans="1:35" x14ac:dyDescent="0.25">
      <c r="A142" s="27">
        <f t="shared" ref="A142:A205" si="2">+A141+1</f>
        <v>46153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63.4</v>
      </c>
      <c r="I142" s="20">
        <v>354.4</v>
      </c>
      <c r="J142" s="20">
        <v>232</v>
      </c>
      <c r="K142" s="20">
        <v>781</v>
      </c>
      <c r="L142" s="20">
        <v>1106.5999999999999</v>
      </c>
      <c r="M142" s="20">
        <v>781.4</v>
      </c>
      <c r="N142" s="20">
        <v>386.5</v>
      </c>
      <c r="O142" s="20">
        <v>877</v>
      </c>
      <c r="P142" s="20">
        <v>590.4</v>
      </c>
      <c r="Q142" s="20">
        <v>525.9</v>
      </c>
      <c r="R142" s="20">
        <v>285.8</v>
      </c>
      <c r="S142" s="20">
        <v>20.6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</row>
    <row r="143" spans="1:35" x14ac:dyDescent="0.25">
      <c r="A143" s="27">
        <f t="shared" si="2"/>
        <v>46154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47.06</v>
      </c>
      <c r="I143" s="20">
        <v>281.48</v>
      </c>
      <c r="J143" s="20">
        <v>251.62</v>
      </c>
      <c r="K143" s="20">
        <v>358.17</v>
      </c>
      <c r="L143" s="20">
        <v>353.84</v>
      </c>
      <c r="M143" s="20">
        <v>406.45</v>
      </c>
      <c r="N143" s="20">
        <v>390.58</v>
      </c>
      <c r="O143" s="20">
        <v>463.39</v>
      </c>
      <c r="P143" s="20">
        <v>255.73</v>
      </c>
      <c r="Q143" s="20">
        <v>354.29</v>
      </c>
      <c r="R143" s="20">
        <v>192.9</v>
      </c>
      <c r="S143" s="20">
        <v>47.06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</row>
    <row r="144" spans="1:35" x14ac:dyDescent="0.25">
      <c r="A144" s="27">
        <f t="shared" si="2"/>
        <v>46155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226.09</v>
      </c>
      <c r="I144" s="20">
        <v>420.55</v>
      </c>
      <c r="J144" s="20">
        <v>619.34</v>
      </c>
      <c r="K144" s="20">
        <v>197.79</v>
      </c>
      <c r="L144" s="20">
        <v>876.5</v>
      </c>
      <c r="M144" s="20">
        <v>791.37</v>
      </c>
      <c r="N144" s="20">
        <v>995.26</v>
      </c>
      <c r="O144" s="20">
        <v>39.74</v>
      </c>
      <c r="P144" s="20">
        <v>22.64</v>
      </c>
      <c r="Q144" s="20">
        <v>7.88</v>
      </c>
      <c r="R144" s="20">
        <v>40.51</v>
      </c>
      <c r="S144" s="20">
        <v>1.22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</row>
    <row r="145" spans="1:25" x14ac:dyDescent="0.25">
      <c r="A145" s="27">
        <f t="shared" si="2"/>
        <v>46156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302.5</v>
      </c>
      <c r="I145" s="20">
        <v>781</v>
      </c>
      <c r="J145" s="20">
        <v>1177.4000000000001</v>
      </c>
      <c r="K145" s="20">
        <v>1395.9</v>
      </c>
      <c r="L145" s="20">
        <v>832.8</v>
      </c>
      <c r="M145" s="20">
        <v>1242.8</v>
      </c>
      <c r="N145" s="20">
        <v>1300.7</v>
      </c>
      <c r="O145" s="20">
        <v>905.2</v>
      </c>
      <c r="P145" s="20">
        <v>952.5</v>
      </c>
      <c r="Q145" s="20">
        <v>229.4</v>
      </c>
      <c r="R145" s="20">
        <v>348</v>
      </c>
      <c r="S145" s="20">
        <v>138.9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</row>
    <row r="146" spans="1:25" x14ac:dyDescent="0.25">
      <c r="A146" s="27">
        <f t="shared" si="2"/>
        <v>46157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276.7</v>
      </c>
      <c r="I146" s="20">
        <v>735.1</v>
      </c>
      <c r="J146" s="20">
        <v>1159.4000000000001</v>
      </c>
      <c r="K146" s="20">
        <v>1371.7</v>
      </c>
      <c r="L146" s="20">
        <v>0</v>
      </c>
      <c r="M146" s="20">
        <v>1342.7</v>
      </c>
      <c r="N146" s="20">
        <v>1378.1</v>
      </c>
      <c r="O146" s="20">
        <v>135.4</v>
      </c>
      <c r="P146" s="20">
        <v>221.3</v>
      </c>
      <c r="Q146" s="20">
        <v>238.8</v>
      </c>
      <c r="R146" s="20">
        <v>140.6</v>
      </c>
      <c r="S146" s="20">
        <v>39.6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</row>
    <row r="147" spans="1:25" x14ac:dyDescent="0.25">
      <c r="A147" s="27">
        <f t="shared" si="2"/>
        <v>46158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261</v>
      </c>
      <c r="I147" s="20">
        <v>747.1</v>
      </c>
      <c r="J147" s="20">
        <v>1154.7</v>
      </c>
      <c r="K147" s="20">
        <v>1395.2</v>
      </c>
      <c r="L147" s="20">
        <v>1395.2</v>
      </c>
      <c r="M147" s="20">
        <v>1393.3</v>
      </c>
      <c r="N147" s="20">
        <v>1084.5</v>
      </c>
      <c r="O147" s="20">
        <v>776.6</v>
      </c>
      <c r="P147" s="20">
        <v>502.1</v>
      </c>
      <c r="Q147" s="20">
        <v>109.4</v>
      </c>
      <c r="R147" s="20">
        <v>125.9</v>
      </c>
      <c r="S147" s="20">
        <v>67.7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</row>
    <row r="148" spans="1:25" x14ac:dyDescent="0.25">
      <c r="A148" s="27">
        <f t="shared" si="2"/>
        <v>46159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39.700000000000003</v>
      </c>
      <c r="H148" s="20">
        <v>190.2</v>
      </c>
      <c r="I148" s="20">
        <v>403.6</v>
      </c>
      <c r="J148" s="20">
        <v>949.8</v>
      </c>
      <c r="K148" s="20">
        <v>1281.5999999999999</v>
      </c>
      <c r="L148" s="20">
        <v>1112.5999999999999</v>
      </c>
      <c r="M148" s="20">
        <v>1302.4000000000001</v>
      </c>
      <c r="N148" s="20">
        <v>396.9</v>
      </c>
      <c r="O148" s="20">
        <v>941.2</v>
      </c>
      <c r="P148" s="20">
        <v>653.70000000000005</v>
      </c>
      <c r="Q148" s="20">
        <v>540.5</v>
      </c>
      <c r="R148" s="20">
        <v>216.2</v>
      </c>
      <c r="S148" s="20">
        <v>51.5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</row>
    <row r="149" spans="1:25" x14ac:dyDescent="0.25">
      <c r="A149" s="27">
        <f t="shared" si="2"/>
        <v>46160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38.799999999999997</v>
      </c>
      <c r="H149" s="20">
        <v>274.8</v>
      </c>
      <c r="I149" s="20">
        <v>477.5</v>
      </c>
      <c r="J149" s="20">
        <v>489.7</v>
      </c>
      <c r="K149" s="20">
        <v>1373.8</v>
      </c>
      <c r="L149" s="20">
        <v>1393.8</v>
      </c>
      <c r="M149" s="20">
        <v>1356.4</v>
      </c>
      <c r="N149" s="20">
        <v>1391.1</v>
      </c>
      <c r="O149" s="20">
        <v>340.3</v>
      </c>
      <c r="P149" s="20">
        <v>253.5</v>
      </c>
      <c r="Q149" s="20">
        <v>477.8</v>
      </c>
      <c r="R149" s="20">
        <v>459.9</v>
      </c>
      <c r="S149" s="20">
        <v>171.8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</row>
    <row r="150" spans="1:25" x14ac:dyDescent="0.25">
      <c r="A150" s="27">
        <f t="shared" si="2"/>
        <v>46161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38.799999999999997</v>
      </c>
      <c r="H150" s="20">
        <v>193</v>
      </c>
      <c r="I150" s="20">
        <v>454.7</v>
      </c>
      <c r="J150" s="20">
        <v>922</v>
      </c>
      <c r="K150" s="20">
        <v>1325.3</v>
      </c>
      <c r="L150" s="20">
        <v>1393</v>
      </c>
      <c r="M150" s="20">
        <v>1015.1</v>
      </c>
      <c r="N150" s="20">
        <v>1209.8</v>
      </c>
      <c r="O150" s="20">
        <v>808.9</v>
      </c>
      <c r="P150" s="20">
        <v>1156.8</v>
      </c>
      <c r="Q150" s="20">
        <v>927</v>
      </c>
      <c r="R150" s="20">
        <v>216</v>
      </c>
      <c r="S150" s="20">
        <v>123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</row>
    <row r="151" spans="1:25" x14ac:dyDescent="0.25">
      <c r="A151" s="27">
        <f t="shared" si="2"/>
        <v>46162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16</v>
      </c>
      <c r="I151" s="20">
        <v>112.4</v>
      </c>
      <c r="J151" s="20">
        <v>157.69999999999999</v>
      </c>
      <c r="K151" s="20">
        <v>134</v>
      </c>
      <c r="L151" s="20">
        <v>124.6</v>
      </c>
      <c r="M151" s="20">
        <v>368.5</v>
      </c>
      <c r="N151" s="20">
        <v>0.3</v>
      </c>
      <c r="O151" s="20">
        <v>53</v>
      </c>
      <c r="P151" s="20">
        <v>68.2</v>
      </c>
      <c r="Q151" s="20">
        <v>74</v>
      </c>
      <c r="R151" s="20">
        <v>66.7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</row>
    <row r="152" spans="1:25" x14ac:dyDescent="0.25">
      <c r="A152" s="27">
        <f t="shared" si="2"/>
        <v>46163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27.3</v>
      </c>
      <c r="I152" s="20">
        <v>416.4</v>
      </c>
      <c r="J152" s="20">
        <v>572.5</v>
      </c>
      <c r="K152" s="20">
        <v>722.7</v>
      </c>
      <c r="L152" s="20">
        <v>691</v>
      </c>
      <c r="M152" s="20">
        <v>292.3</v>
      </c>
      <c r="N152" s="20">
        <v>902.4</v>
      </c>
      <c r="O152" s="20">
        <v>719.8</v>
      </c>
      <c r="P152" s="20">
        <v>717.2</v>
      </c>
      <c r="Q152" s="20">
        <v>521.20000000000005</v>
      </c>
      <c r="R152" s="20">
        <v>160.4</v>
      </c>
      <c r="S152" s="20">
        <v>6.9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</row>
    <row r="153" spans="1:25" x14ac:dyDescent="0.25">
      <c r="A153" s="27">
        <f t="shared" si="2"/>
        <v>46164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294.5</v>
      </c>
      <c r="I153" s="20">
        <v>697.6</v>
      </c>
      <c r="J153" s="20">
        <v>1395.6</v>
      </c>
      <c r="K153" s="20">
        <v>1394.8</v>
      </c>
      <c r="L153" s="20">
        <v>852.4</v>
      </c>
      <c r="M153" s="20">
        <v>1014.1</v>
      </c>
      <c r="N153" s="20">
        <v>617.29999999999995</v>
      </c>
      <c r="O153" s="20">
        <v>991.5</v>
      </c>
      <c r="P153" s="20">
        <v>506.6</v>
      </c>
      <c r="Q153" s="20">
        <v>421.2</v>
      </c>
      <c r="R153" s="20">
        <v>186.1</v>
      </c>
      <c r="S153" s="20">
        <v>70.7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</row>
    <row r="154" spans="1:25" x14ac:dyDescent="0.25">
      <c r="A154" s="27">
        <f t="shared" si="2"/>
        <v>46165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310</v>
      </c>
      <c r="I154" s="20">
        <v>721.9</v>
      </c>
      <c r="J154" s="20">
        <v>1206</v>
      </c>
      <c r="K154" s="20">
        <v>1372</v>
      </c>
      <c r="L154" s="20">
        <v>1055.3</v>
      </c>
      <c r="M154" s="20">
        <v>544.20000000000005</v>
      </c>
      <c r="N154" s="20">
        <v>1017.1</v>
      </c>
      <c r="O154" s="20">
        <v>264.5</v>
      </c>
      <c r="P154" s="20">
        <v>227.3</v>
      </c>
      <c r="Q154" s="20">
        <v>144.80000000000001</v>
      </c>
      <c r="R154" s="20">
        <v>59.4</v>
      </c>
      <c r="S154" s="20">
        <v>34.9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</row>
    <row r="155" spans="1:25" x14ac:dyDescent="0.25">
      <c r="A155" s="27">
        <f t="shared" si="2"/>
        <v>46166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10.51</v>
      </c>
      <c r="H155" s="20">
        <v>91.67</v>
      </c>
      <c r="I155" s="20">
        <v>282.37</v>
      </c>
      <c r="J155" s="20">
        <v>388.98</v>
      </c>
      <c r="K155" s="20">
        <v>1181.1300000000001</v>
      </c>
      <c r="L155" s="20">
        <v>1387.65</v>
      </c>
      <c r="M155" s="20">
        <v>1323.83</v>
      </c>
      <c r="N155" s="20">
        <v>1254.06</v>
      </c>
      <c r="O155" s="20">
        <v>327.06</v>
      </c>
      <c r="P155" s="20">
        <v>107</v>
      </c>
      <c r="Q155" s="20">
        <v>167.01</v>
      </c>
      <c r="R155" s="20">
        <v>56.35</v>
      </c>
      <c r="S155" s="20">
        <v>4.68</v>
      </c>
      <c r="T155" s="20">
        <v>1.9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</row>
    <row r="156" spans="1:25" x14ac:dyDescent="0.25">
      <c r="A156" s="27">
        <f t="shared" si="2"/>
        <v>46167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55</v>
      </c>
      <c r="I156" s="20">
        <v>326.89999999999998</v>
      </c>
      <c r="J156" s="20">
        <v>759.5</v>
      </c>
      <c r="K156" s="20">
        <v>553</v>
      </c>
      <c r="L156" s="20">
        <v>648</v>
      </c>
      <c r="M156" s="20">
        <v>430.1</v>
      </c>
      <c r="N156" s="20">
        <v>406</v>
      </c>
      <c r="O156" s="20">
        <v>422</v>
      </c>
      <c r="P156" s="20">
        <v>390.6</v>
      </c>
      <c r="Q156" s="20">
        <v>303.7</v>
      </c>
      <c r="R156" s="20">
        <v>71.3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</row>
    <row r="157" spans="1:25" x14ac:dyDescent="0.25">
      <c r="A157" s="27">
        <f t="shared" si="2"/>
        <v>46168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113.1</v>
      </c>
      <c r="I157" s="20">
        <v>77.400000000000006</v>
      </c>
      <c r="J157" s="20">
        <v>76.900000000000006</v>
      </c>
      <c r="K157" s="20">
        <v>88.3</v>
      </c>
      <c r="L157" s="20">
        <v>221.7</v>
      </c>
      <c r="M157" s="20">
        <v>194</v>
      </c>
      <c r="N157" s="20">
        <v>158</v>
      </c>
      <c r="O157" s="20">
        <v>140.19999999999999</v>
      </c>
      <c r="P157" s="20">
        <v>195.3</v>
      </c>
      <c r="Q157" s="20">
        <v>176.5</v>
      </c>
      <c r="R157" s="20">
        <v>94.4</v>
      </c>
      <c r="S157" s="20">
        <v>0.2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</row>
    <row r="158" spans="1:25" x14ac:dyDescent="0.25">
      <c r="A158" s="27">
        <f t="shared" si="2"/>
        <v>46169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68.099999999999994</v>
      </c>
      <c r="I158" s="20">
        <v>399.6</v>
      </c>
      <c r="J158" s="20">
        <v>336.9</v>
      </c>
      <c r="K158" s="20">
        <v>712.4</v>
      </c>
      <c r="L158" s="20">
        <v>535.79999999999995</v>
      </c>
      <c r="M158" s="20">
        <v>1108.9000000000001</v>
      </c>
      <c r="N158" s="20">
        <v>1076.8</v>
      </c>
      <c r="O158" s="20">
        <v>712.3</v>
      </c>
      <c r="P158" s="20">
        <v>879.4</v>
      </c>
      <c r="Q158" s="20">
        <v>4.3</v>
      </c>
      <c r="R158" s="20">
        <v>9.1999999999999993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</row>
    <row r="159" spans="1:25" x14ac:dyDescent="0.25">
      <c r="A159" s="27">
        <f t="shared" si="2"/>
        <v>46170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56.3</v>
      </c>
      <c r="I159" s="20">
        <v>307.39999999999998</v>
      </c>
      <c r="J159" s="20">
        <v>204.5</v>
      </c>
      <c r="K159" s="20">
        <v>296.7</v>
      </c>
      <c r="L159" s="20">
        <v>295.60000000000002</v>
      </c>
      <c r="M159" s="20">
        <v>245</v>
      </c>
      <c r="N159" s="20">
        <v>128.6</v>
      </c>
      <c r="O159" s="20">
        <v>189.8</v>
      </c>
      <c r="P159" s="20">
        <v>218.5</v>
      </c>
      <c r="Q159" s="20">
        <v>134.5</v>
      </c>
      <c r="R159" s="20">
        <v>116.7</v>
      </c>
      <c r="S159" s="20">
        <v>3.6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</row>
    <row r="160" spans="1:25" x14ac:dyDescent="0.25">
      <c r="A160" s="27">
        <f t="shared" si="2"/>
        <v>46171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5.3</v>
      </c>
      <c r="I160" s="20">
        <v>98.1</v>
      </c>
      <c r="J160" s="20">
        <v>605.5</v>
      </c>
      <c r="K160" s="20">
        <v>188.5</v>
      </c>
      <c r="L160" s="20">
        <v>250.9</v>
      </c>
      <c r="M160" s="20">
        <v>260.8</v>
      </c>
      <c r="N160" s="20">
        <v>182.9</v>
      </c>
      <c r="O160" s="20">
        <v>353</v>
      </c>
      <c r="P160" s="20">
        <v>227.3</v>
      </c>
      <c r="Q160" s="20">
        <v>160.9</v>
      </c>
      <c r="R160" s="20">
        <v>80</v>
      </c>
      <c r="S160" s="20">
        <v>14.4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</row>
    <row r="161" spans="1:35" x14ac:dyDescent="0.25">
      <c r="A161" s="27">
        <f t="shared" si="2"/>
        <v>46172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27.1</v>
      </c>
      <c r="I161" s="20">
        <v>111.8</v>
      </c>
      <c r="J161" s="20">
        <v>169.6</v>
      </c>
      <c r="K161" s="20">
        <v>410.8</v>
      </c>
      <c r="L161" s="20">
        <v>943.7</v>
      </c>
      <c r="M161" s="20">
        <v>294.7</v>
      </c>
      <c r="N161" s="20">
        <v>808.4</v>
      </c>
      <c r="O161" s="20">
        <v>856.5</v>
      </c>
      <c r="P161" s="20">
        <v>697</v>
      </c>
      <c r="Q161" s="20">
        <v>485.2</v>
      </c>
      <c r="R161" s="20">
        <v>255.5</v>
      </c>
      <c r="S161" s="20">
        <v>15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</row>
    <row r="162" spans="1:35" x14ac:dyDescent="0.25">
      <c r="A162" s="27">
        <f t="shared" si="2"/>
        <v>46173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21.1</v>
      </c>
      <c r="I162" s="20">
        <v>116.6</v>
      </c>
      <c r="J162" s="20">
        <v>276.60000000000002</v>
      </c>
      <c r="K162" s="20">
        <v>584.79999999999995</v>
      </c>
      <c r="L162" s="20">
        <v>414.9</v>
      </c>
      <c r="M162" s="20">
        <v>479</v>
      </c>
      <c r="N162" s="20">
        <v>591.79999999999995</v>
      </c>
      <c r="O162" s="20">
        <v>739.3</v>
      </c>
      <c r="P162" s="20">
        <v>236.2</v>
      </c>
      <c r="Q162" s="20">
        <v>356.5</v>
      </c>
      <c r="R162" s="20">
        <v>97.5</v>
      </c>
      <c r="S162" s="20">
        <v>17.600000000000001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</row>
    <row r="163" spans="1:35" x14ac:dyDescent="0.25">
      <c r="A163" s="27">
        <f t="shared" si="2"/>
        <v>46174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96.5</v>
      </c>
      <c r="J163" s="20">
        <v>418.7</v>
      </c>
      <c r="K163" s="20">
        <v>747.9</v>
      </c>
      <c r="L163" s="20">
        <v>765.1</v>
      </c>
      <c r="M163" s="20">
        <v>645.20000000000005</v>
      </c>
      <c r="N163" s="20">
        <v>1033.9000000000001</v>
      </c>
      <c r="O163" s="20">
        <v>740.9</v>
      </c>
      <c r="P163" s="20">
        <v>439.7</v>
      </c>
      <c r="Q163" s="20">
        <v>268.10000000000002</v>
      </c>
      <c r="R163" s="20">
        <v>135.5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</row>
    <row r="164" spans="1:35" x14ac:dyDescent="0.25">
      <c r="A164" s="27">
        <f t="shared" si="2"/>
        <v>46175</v>
      </c>
      <c r="B164" s="20">
        <v>0</v>
      </c>
      <c r="C164" s="20">
        <v>0</v>
      </c>
      <c r="D164" s="20">
        <v>0</v>
      </c>
      <c r="E164" s="20">
        <v>0</v>
      </c>
      <c r="F164" s="20">
        <v>0</v>
      </c>
      <c r="G164" s="20">
        <v>0</v>
      </c>
      <c r="H164" s="20">
        <v>42.4</v>
      </c>
      <c r="I164" s="20">
        <v>292.8</v>
      </c>
      <c r="J164" s="20">
        <v>453.1</v>
      </c>
      <c r="K164" s="20">
        <v>273.60000000000002</v>
      </c>
      <c r="L164" s="20">
        <v>453.5</v>
      </c>
      <c r="M164" s="20">
        <v>354.6</v>
      </c>
      <c r="N164" s="20">
        <v>0.4</v>
      </c>
      <c r="O164" s="20">
        <v>28</v>
      </c>
      <c r="P164" s="20">
        <v>187.6</v>
      </c>
      <c r="Q164" s="20">
        <v>200.1</v>
      </c>
      <c r="R164" s="20">
        <v>95.7</v>
      </c>
      <c r="S164" s="20">
        <v>17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</row>
    <row r="165" spans="1:35" x14ac:dyDescent="0.25">
      <c r="A165" s="27">
        <f t="shared" si="2"/>
        <v>46176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70.5</v>
      </c>
      <c r="I165" s="20">
        <v>122.1</v>
      </c>
      <c r="J165" s="20">
        <v>329</v>
      </c>
      <c r="K165" s="20">
        <v>405.8</v>
      </c>
      <c r="L165" s="20">
        <v>756.5</v>
      </c>
      <c r="M165" s="20">
        <v>628.4</v>
      </c>
      <c r="N165" s="20">
        <v>428.3</v>
      </c>
      <c r="O165" s="20">
        <v>401.8</v>
      </c>
      <c r="P165" s="20">
        <v>151.69999999999999</v>
      </c>
      <c r="Q165" s="20">
        <v>111.2</v>
      </c>
      <c r="R165" s="20">
        <v>33.299999999999997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</row>
    <row r="166" spans="1:35" x14ac:dyDescent="0.25">
      <c r="A166" s="27">
        <f t="shared" si="2"/>
        <v>46177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4.5</v>
      </c>
      <c r="H166" s="20">
        <v>41.6</v>
      </c>
      <c r="I166" s="20">
        <v>304.7</v>
      </c>
      <c r="J166" s="20">
        <v>239.1</v>
      </c>
      <c r="K166" s="20">
        <v>734</v>
      </c>
      <c r="L166" s="20">
        <v>430.1</v>
      </c>
      <c r="M166" s="20">
        <v>613</v>
      </c>
      <c r="N166" s="20">
        <v>782.1</v>
      </c>
      <c r="O166" s="20">
        <v>664</v>
      </c>
      <c r="P166" s="20">
        <v>650.70000000000005</v>
      </c>
      <c r="Q166" s="20">
        <v>184.9</v>
      </c>
      <c r="R166" s="20">
        <v>108.4</v>
      </c>
      <c r="S166" s="20">
        <v>18.5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</row>
    <row r="167" spans="1:35" x14ac:dyDescent="0.25">
      <c r="A167" s="27">
        <f t="shared" si="2"/>
        <v>46178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45.8</v>
      </c>
      <c r="I167" s="20">
        <v>259</v>
      </c>
      <c r="J167" s="20">
        <v>513.9</v>
      </c>
      <c r="K167" s="20">
        <v>735.9</v>
      </c>
      <c r="L167" s="20">
        <v>310.3</v>
      </c>
      <c r="M167" s="20">
        <v>217.8</v>
      </c>
      <c r="N167" s="20">
        <v>128.4</v>
      </c>
      <c r="O167" s="20">
        <v>273.2</v>
      </c>
      <c r="P167" s="20">
        <v>435.3</v>
      </c>
      <c r="Q167" s="20">
        <v>132.80000000000001</v>
      </c>
      <c r="R167" s="20">
        <v>62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</row>
    <row r="168" spans="1:35" x14ac:dyDescent="0.25">
      <c r="A168" s="27">
        <f t="shared" si="2"/>
        <v>46179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52.8</v>
      </c>
      <c r="I168" s="20">
        <v>165.2</v>
      </c>
      <c r="J168" s="20">
        <v>432.2</v>
      </c>
      <c r="K168" s="20">
        <v>645.1</v>
      </c>
      <c r="L168" s="20">
        <v>765.5</v>
      </c>
      <c r="M168" s="20">
        <v>433.2</v>
      </c>
      <c r="N168" s="20">
        <v>984.6</v>
      </c>
      <c r="O168" s="20">
        <v>210.5</v>
      </c>
      <c r="P168" s="20">
        <v>772.6</v>
      </c>
      <c r="Q168" s="20">
        <v>167.3</v>
      </c>
      <c r="R168" s="20">
        <v>144.80000000000001</v>
      </c>
      <c r="S168" s="20">
        <v>6.1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</row>
    <row r="169" spans="1:35" x14ac:dyDescent="0.25">
      <c r="A169" s="27">
        <f t="shared" si="2"/>
        <v>46180</v>
      </c>
      <c r="B169" s="20">
        <v>0</v>
      </c>
      <c r="C169" s="20">
        <v>0</v>
      </c>
      <c r="D169" s="20">
        <v>0</v>
      </c>
      <c r="E169" s="20">
        <v>0</v>
      </c>
      <c r="F169" s="20">
        <v>0</v>
      </c>
      <c r="G169" s="20">
        <v>0</v>
      </c>
      <c r="H169" s="20">
        <v>9.5</v>
      </c>
      <c r="I169" s="20">
        <v>62.7</v>
      </c>
      <c r="J169" s="20">
        <v>148.19999999999999</v>
      </c>
      <c r="K169" s="20">
        <v>227.6</v>
      </c>
      <c r="L169" s="20">
        <v>196.7</v>
      </c>
      <c r="M169" s="20">
        <v>78</v>
      </c>
      <c r="N169" s="20">
        <v>131.5</v>
      </c>
      <c r="O169" s="20">
        <v>214.2</v>
      </c>
      <c r="P169" s="20">
        <v>130.5</v>
      </c>
      <c r="Q169" s="20">
        <v>94.6</v>
      </c>
      <c r="R169" s="20">
        <v>24.8</v>
      </c>
      <c r="S169" s="20">
        <v>5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</row>
    <row r="170" spans="1:35" x14ac:dyDescent="0.25">
      <c r="A170" s="27">
        <f t="shared" si="2"/>
        <v>46181</v>
      </c>
      <c r="B170" s="20">
        <v>0</v>
      </c>
      <c r="C170" s="20">
        <v>0</v>
      </c>
      <c r="D170" s="20">
        <v>0</v>
      </c>
      <c r="E170" s="20">
        <v>0</v>
      </c>
      <c r="F170" s="20">
        <v>0</v>
      </c>
      <c r="G170" s="20">
        <v>0</v>
      </c>
      <c r="H170" s="20">
        <v>6.1</v>
      </c>
      <c r="I170" s="20">
        <v>89.6</v>
      </c>
      <c r="J170" s="20">
        <v>142.9</v>
      </c>
      <c r="K170" s="20">
        <v>318.3</v>
      </c>
      <c r="L170" s="20">
        <v>463</v>
      </c>
      <c r="M170" s="20">
        <v>914.6</v>
      </c>
      <c r="N170" s="20">
        <v>628.20000000000005</v>
      </c>
      <c r="O170" s="20">
        <v>1102.0999999999999</v>
      </c>
      <c r="P170" s="20">
        <v>245.6</v>
      </c>
      <c r="Q170" s="20">
        <v>176.8</v>
      </c>
      <c r="R170" s="20">
        <v>136.4</v>
      </c>
      <c r="S170" s="20">
        <v>205.7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</row>
    <row r="171" spans="1:35" x14ac:dyDescent="0.25">
      <c r="A171" s="27">
        <f t="shared" si="2"/>
        <v>46182</v>
      </c>
      <c r="B171" s="20">
        <v>0</v>
      </c>
      <c r="C171" s="20">
        <v>0</v>
      </c>
      <c r="D171" s="20">
        <v>0</v>
      </c>
      <c r="E171" s="20">
        <v>0</v>
      </c>
      <c r="F171" s="20">
        <v>0</v>
      </c>
      <c r="G171" s="20">
        <v>0</v>
      </c>
      <c r="H171" s="20">
        <v>29.1</v>
      </c>
      <c r="I171" s="20">
        <v>82.2</v>
      </c>
      <c r="J171" s="20">
        <v>234.7</v>
      </c>
      <c r="K171" s="20">
        <v>408.8</v>
      </c>
      <c r="L171" s="20">
        <v>652.70000000000005</v>
      </c>
      <c r="M171" s="20">
        <v>296.7</v>
      </c>
      <c r="N171" s="20">
        <v>325.10000000000002</v>
      </c>
      <c r="O171" s="20">
        <v>281.2</v>
      </c>
      <c r="P171" s="20">
        <v>202.4</v>
      </c>
      <c r="Q171" s="20">
        <v>116.2</v>
      </c>
      <c r="R171" s="20">
        <v>16.3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</row>
    <row r="172" spans="1:35" x14ac:dyDescent="0.25">
      <c r="A172" s="27">
        <f t="shared" si="2"/>
        <v>46183</v>
      </c>
      <c r="B172" s="20">
        <v>0</v>
      </c>
      <c r="C172" s="20">
        <v>0</v>
      </c>
      <c r="D172" s="20">
        <v>0</v>
      </c>
      <c r="E172" s="20">
        <v>0</v>
      </c>
      <c r="F172" s="20">
        <v>0</v>
      </c>
      <c r="G172" s="20">
        <v>0</v>
      </c>
      <c r="H172" s="20">
        <v>35.6</v>
      </c>
      <c r="I172" s="20">
        <v>295.5</v>
      </c>
      <c r="J172" s="20">
        <v>416.2</v>
      </c>
      <c r="K172" s="20">
        <v>507.8</v>
      </c>
      <c r="L172" s="20">
        <v>587.1</v>
      </c>
      <c r="M172" s="20">
        <v>675.9</v>
      </c>
      <c r="N172" s="20">
        <v>665.5</v>
      </c>
      <c r="O172" s="20">
        <v>806.7</v>
      </c>
      <c r="P172" s="20">
        <v>653.5</v>
      </c>
      <c r="Q172" s="20">
        <v>146</v>
      </c>
      <c r="R172" s="20">
        <v>264.89999999999998</v>
      </c>
      <c r="S172" s="20">
        <v>58.5</v>
      </c>
      <c r="T172" s="20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</row>
    <row r="173" spans="1:35" x14ac:dyDescent="0.25">
      <c r="A173" s="27">
        <f t="shared" si="2"/>
        <v>46184</v>
      </c>
      <c r="B173" s="20">
        <v>0</v>
      </c>
      <c r="C173" s="20">
        <v>0</v>
      </c>
      <c r="D173" s="20">
        <v>0</v>
      </c>
      <c r="E173" s="20">
        <v>0</v>
      </c>
      <c r="F173" s="20">
        <v>0</v>
      </c>
      <c r="G173" s="20">
        <v>0</v>
      </c>
      <c r="H173" s="20">
        <v>61.6</v>
      </c>
      <c r="I173" s="20">
        <v>307.60000000000002</v>
      </c>
      <c r="J173" s="20">
        <v>506.9</v>
      </c>
      <c r="K173" s="20">
        <v>707.4</v>
      </c>
      <c r="L173" s="20">
        <v>919.7</v>
      </c>
      <c r="M173" s="20">
        <v>916.1</v>
      </c>
      <c r="N173" s="20">
        <v>946.2</v>
      </c>
      <c r="O173" s="20">
        <v>829.3</v>
      </c>
      <c r="P173" s="20">
        <v>349.3</v>
      </c>
      <c r="Q173" s="20">
        <v>536.29999999999995</v>
      </c>
      <c r="R173" s="20">
        <v>141.69999999999999</v>
      </c>
      <c r="S173" s="20">
        <v>20.3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</row>
    <row r="174" spans="1:35" x14ac:dyDescent="0.25">
      <c r="A174" s="27">
        <f t="shared" si="2"/>
        <v>46185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0</v>
      </c>
      <c r="H174" s="20">
        <v>23.2</v>
      </c>
      <c r="I174" s="20">
        <v>296.89999999999998</v>
      </c>
      <c r="J174" s="20">
        <v>521.5</v>
      </c>
      <c r="K174" s="20">
        <v>715.9</v>
      </c>
      <c r="L174" s="20">
        <v>893.3</v>
      </c>
      <c r="M174" s="20">
        <v>973.6</v>
      </c>
      <c r="N174" s="20">
        <v>380.9</v>
      </c>
      <c r="O174" s="20">
        <v>602.70000000000005</v>
      </c>
      <c r="P174" s="20">
        <v>141.19999999999999</v>
      </c>
      <c r="Q174" s="20">
        <v>206.6</v>
      </c>
      <c r="R174" s="20">
        <v>108.8</v>
      </c>
      <c r="S174" s="20">
        <v>42.2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</row>
    <row r="175" spans="1:35" x14ac:dyDescent="0.25">
      <c r="A175" s="27">
        <f t="shared" si="2"/>
        <v>46186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31.6</v>
      </c>
      <c r="I175" s="20">
        <v>296.8</v>
      </c>
      <c r="J175" s="20">
        <v>521.79999999999995</v>
      </c>
      <c r="K175" s="20">
        <v>706.3</v>
      </c>
      <c r="L175" s="20">
        <v>826.8</v>
      </c>
      <c r="M175" s="20">
        <v>890.8</v>
      </c>
      <c r="N175" s="20">
        <v>1140.2</v>
      </c>
      <c r="O175" s="20">
        <v>256.2</v>
      </c>
      <c r="P175" s="20">
        <v>301.60000000000002</v>
      </c>
      <c r="Q175" s="20">
        <v>14.9</v>
      </c>
      <c r="R175" s="20">
        <v>20.399999999999999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</row>
    <row r="176" spans="1:35" x14ac:dyDescent="0.25">
      <c r="A176" s="27">
        <f t="shared" si="2"/>
        <v>46187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49.5</v>
      </c>
      <c r="I176" s="20">
        <v>338.1</v>
      </c>
      <c r="J176" s="20">
        <v>503.5</v>
      </c>
      <c r="K176" s="20">
        <v>700.6</v>
      </c>
      <c r="L176" s="20">
        <v>876</v>
      </c>
      <c r="M176" s="20">
        <v>949.1</v>
      </c>
      <c r="N176" s="20">
        <v>906.3</v>
      </c>
      <c r="O176" s="20">
        <v>825</v>
      </c>
      <c r="P176" s="20">
        <v>711.6</v>
      </c>
      <c r="Q176" s="20">
        <v>199</v>
      </c>
      <c r="R176" s="20">
        <v>44.8</v>
      </c>
      <c r="S176" s="20">
        <v>2.4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</row>
    <row r="177" spans="1:25" x14ac:dyDescent="0.25">
      <c r="A177" s="27">
        <f t="shared" si="2"/>
        <v>46188</v>
      </c>
      <c r="B177" s="20">
        <v>0</v>
      </c>
      <c r="C177" s="20">
        <v>0</v>
      </c>
      <c r="D177" s="20">
        <v>0</v>
      </c>
      <c r="E177" s="20">
        <v>0</v>
      </c>
      <c r="F177" s="20">
        <v>0</v>
      </c>
      <c r="G177" s="20">
        <v>0</v>
      </c>
      <c r="H177" s="20">
        <v>40.799999999999997</v>
      </c>
      <c r="I177" s="20">
        <v>87.5</v>
      </c>
      <c r="J177" s="20">
        <v>515.20000000000005</v>
      </c>
      <c r="K177" s="20">
        <v>409.7</v>
      </c>
      <c r="L177" s="20">
        <v>242.8</v>
      </c>
      <c r="M177" s="20">
        <v>396.9</v>
      </c>
      <c r="N177" s="20">
        <v>318.60000000000002</v>
      </c>
      <c r="O177" s="20">
        <v>233.9</v>
      </c>
      <c r="P177" s="20">
        <v>213.3</v>
      </c>
      <c r="Q177" s="20">
        <v>163.4</v>
      </c>
      <c r="R177" s="20">
        <v>133.6</v>
      </c>
      <c r="S177" s="20">
        <v>10.3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</row>
    <row r="178" spans="1:25" x14ac:dyDescent="0.25">
      <c r="A178" s="27">
        <f t="shared" si="2"/>
        <v>46189</v>
      </c>
      <c r="B178" s="20">
        <v>0</v>
      </c>
      <c r="C178" s="20">
        <v>0</v>
      </c>
      <c r="D178" s="20">
        <v>0</v>
      </c>
      <c r="E178" s="20">
        <v>0</v>
      </c>
      <c r="F178" s="20">
        <v>0</v>
      </c>
      <c r="G178" s="20">
        <v>37.700000000000003</v>
      </c>
      <c r="H178" s="20">
        <v>134.69999999999999</v>
      </c>
      <c r="I178" s="20">
        <v>60.3</v>
      </c>
      <c r="J178" s="20">
        <v>148.6</v>
      </c>
      <c r="K178" s="20">
        <v>69</v>
      </c>
      <c r="L178" s="20">
        <v>359.8</v>
      </c>
      <c r="M178" s="20">
        <v>967</v>
      </c>
      <c r="N178" s="20">
        <v>1147.9000000000001</v>
      </c>
      <c r="O178" s="20">
        <v>1072.5</v>
      </c>
      <c r="P178" s="20">
        <v>140.19999999999999</v>
      </c>
      <c r="Q178" s="20">
        <v>61.3</v>
      </c>
      <c r="R178" s="20">
        <v>46.9</v>
      </c>
      <c r="S178" s="20">
        <v>39.299999999999997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</row>
    <row r="179" spans="1:25" x14ac:dyDescent="0.25">
      <c r="A179" s="27">
        <f t="shared" si="2"/>
        <v>46190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53.3</v>
      </c>
      <c r="I179" s="20">
        <v>249.9</v>
      </c>
      <c r="J179" s="20">
        <v>554.70000000000005</v>
      </c>
      <c r="K179" s="20">
        <v>707.5</v>
      </c>
      <c r="L179" s="20">
        <v>838.3</v>
      </c>
      <c r="M179" s="20">
        <v>909.4</v>
      </c>
      <c r="N179" s="20">
        <v>915</v>
      </c>
      <c r="O179" s="20">
        <v>1090.5999999999999</v>
      </c>
      <c r="P179" s="20">
        <v>147.4</v>
      </c>
      <c r="Q179" s="20">
        <v>105.8</v>
      </c>
      <c r="R179" s="20">
        <v>24.6</v>
      </c>
      <c r="S179" s="20">
        <v>2.7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</row>
    <row r="180" spans="1:25" x14ac:dyDescent="0.25">
      <c r="A180" s="27">
        <f t="shared" si="2"/>
        <v>46191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45.7</v>
      </c>
      <c r="H180" s="20">
        <v>46.8</v>
      </c>
      <c r="I180" s="20">
        <v>269</v>
      </c>
      <c r="J180" s="20">
        <v>522.70000000000005</v>
      </c>
      <c r="K180" s="20">
        <v>179.9</v>
      </c>
      <c r="L180" s="20">
        <v>371.6</v>
      </c>
      <c r="M180" s="20">
        <v>438.5</v>
      </c>
      <c r="N180" s="20">
        <v>986.8</v>
      </c>
      <c r="O180" s="20">
        <v>940.4</v>
      </c>
      <c r="P180" s="20">
        <v>246.9</v>
      </c>
      <c r="Q180" s="20">
        <v>350.9</v>
      </c>
      <c r="R180" s="20">
        <v>263.5</v>
      </c>
      <c r="S180" s="20">
        <v>49.5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</row>
    <row r="181" spans="1:25" x14ac:dyDescent="0.25">
      <c r="A181" s="27">
        <f t="shared" si="2"/>
        <v>46192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36.1</v>
      </c>
      <c r="J181" s="20">
        <v>184.1</v>
      </c>
      <c r="K181" s="20">
        <v>389.2</v>
      </c>
      <c r="L181" s="20">
        <v>247.8</v>
      </c>
      <c r="M181" s="20">
        <v>655.5</v>
      </c>
      <c r="N181" s="20">
        <v>1007.4</v>
      </c>
      <c r="O181" s="20">
        <v>873.2</v>
      </c>
      <c r="P181" s="20">
        <v>353.7</v>
      </c>
      <c r="Q181" s="20">
        <v>400.7</v>
      </c>
      <c r="R181" s="20">
        <v>298.89999999999998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</row>
    <row r="182" spans="1:25" x14ac:dyDescent="0.25">
      <c r="A182" s="27">
        <f t="shared" si="2"/>
        <v>46193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96.5</v>
      </c>
      <c r="I182" s="20">
        <v>271.89999999999998</v>
      </c>
      <c r="J182" s="20">
        <v>536.1</v>
      </c>
      <c r="K182" s="20">
        <v>883.5</v>
      </c>
      <c r="L182" s="20">
        <v>719.3</v>
      </c>
      <c r="M182" s="20">
        <v>1087.9000000000001</v>
      </c>
      <c r="N182" s="20">
        <v>985.6</v>
      </c>
      <c r="O182" s="20">
        <v>818.6</v>
      </c>
      <c r="P182" s="20">
        <v>810.7</v>
      </c>
      <c r="Q182" s="20">
        <v>46.4</v>
      </c>
      <c r="R182" s="20">
        <v>76.7</v>
      </c>
      <c r="S182" s="20">
        <v>19.8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</row>
    <row r="183" spans="1:25" x14ac:dyDescent="0.25">
      <c r="A183" s="27">
        <f t="shared" si="2"/>
        <v>46194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7.3</v>
      </c>
      <c r="I183" s="20">
        <v>22.1</v>
      </c>
      <c r="J183" s="20">
        <v>104.5</v>
      </c>
      <c r="K183" s="20">
        <v>197.3</v>
      </c>
      <c r="L183" s="20">
        <v>305.89999999999998</v>
      </c>
      <c r="M183" s="20">
        <v>161.69999999999999</v>
      </c>
      <c r="N183" s="20">
        <v>97.1</v>
      </c>
      <c r="O183" s="20">
        <v>181.5</v>
      </c>
      <c r="P183" s="20">
        <v>210.4</v>
      </c>
      <c r="Q183" s="20">
        <v>264.7</v>
      </c>
      <c r="R183" s="20">
        <v>105.8</v>
      </c>
      <c r="S183" s="20">
        <v>5.9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</row>
    <row r="184" spans="1:25" x14ac:dyDescent="0.25">
      <c r="A184" s="27">
        <f t="shared" si="2"/>
        <v>46195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22.6</v>
      </c>
      <c r="I184" s="20">
        <v>120</v>
      </c>
      <c r="J184" s="20">
        <v>231.2</v>
      </c>
      <c r="K184" s="20">
        <v>354.2</v>
      </c>
      <c r="L184" s="20">
        <v>961.6</v>
      </c>
      <c r="M184" s="20">
        <v>877.3</v>
      </c>
      <c r="N184" s="20">
        <v>948.1</v>
      </c>
      <c r="O184" s="20">
        <v>469.9</v>
      </c>
      <c r="P184" s="20">
        <v>30.4</v>
      </c>
      <c r="Q184" s="20">
        <v>44.7</v>
      </c>
      <c r="R184" s="20">
        <v>25</v>
      </c>
      <c r="S184" s="20">
        <v>12</v>
      </c>
      <c r="T184" s="20">
        <v>5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</row>
    <row r="185" spans="1:25" x14ac:dyDescent="0.25">
      <c r="A185" s="27">
        <f t="shared" si="2"/>
        <v>46196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81.599999999999994</v>
      </c>
      <c r="I185" s="20">
        <v>130.5</v>
      </c>
      <c r="J185" s="20">
        <v>138.19999999999999</v>
      </c>
      <c r="K185" s="20">
        <v>286.60000000000002</v>
      </c>
      <c r="L185" s="20">
        <v>571.70000000000005</v>
      </c>
      <c r="M185" s="20">
        <v>907.6</v>
      </c>
      <c r="N185" s="20">
        <v>987.1</v>
      </c>
      <c r="O185" s="20">
        <v>1149.9000000000001</v>
      </c>
      <c r="P185" s="20">
        <v>656.3</v>
      </c>
      <c r="Q185" s="20">
        <v>639.20000000000005</v>
      </c>
      <c r="R185" s="20">
        <v>253.2</v>
      </c>
      <c r="S185" s="20">
        <v>124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</row>
    <row r="186" spans="1:25" x14ac:dyDescent="0.25">
      <c r="A186" s="27">
        <f t="shared" si="2"/>
        <v>46197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235.2</v>
      </c>
      <c r="I186" s="20">
        <v>699</v>
      </c>
      <c r="J186" s="20">
        <v>634.79999999999995</v>
      </c>
      <c r="K186" s="20">
        <v>598.6</v>
      </c>
      <c r="L186" s="20">
        <v>1388.6</v>
      </c>
      <c r="M186" s="20">
        <v>1389.1</v>
      </c>
      <c r="N186" s="20">
        <v>1325.1</v>
      </c>
      <c r="O186" s="20">
        <v>540.70000000000005</v>
      </c>
      <c r="P186" s="20">
        <v>289.39999999999998</v>
      </c>
      <c r="Q186" s="20">
        <v>321.8</v>
      </c>
      <c r="R186" s="20">
        <v>138.1</v>
      </c>
      <c r="S186" s="20">
        <v>193.9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</row>
    <row r="187" spans="1:25" x14ac:dyDescent="0.25">
      <c r="A187" s="27">
        <f t="shared" si="2"/>
        <v>46198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9</v>
      </c>
      <c r="I187" s="20">
        <v>87.2</v>
      </c>
      <c r="J187" s="20">
        <v>304.2</v>
      </c>
      <c r="K187" s="20">
        <v>416.9</v>
      </c>
      <c r="L187" s="20">
        <v>473.7</v>
      </c>
      <c r="M187" s="20">
        <v>669.4</v>
      </c>
      <c r="N187" s="20">
        <v>854.5</v>
      </c>
      <c r="O187" s="20">
        <v>418.6</v>
      </c>
      <c r="P187" s="20">
        <v>538.1</v>
      </c>
      <c r="Q187" s="20">
        <v>333.1</v>
      </c>
      <c r="R187" s="20">
        <v>142.6</v>
      </c>
      <c r="S187" s="20">
        <v>13.9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</row>
    <row r="188" spans="1:25" x14ac:dyDescent="0.25">
      <c r="A188" s="27">
        <f t="shared" si="2"/>
        <v>46199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39.799999999999997</v>
      </c>
      <c r="H188" s="20">
        <v>255.1</v>
      </c>
      <c r="I188" s="20">
        <v>623.6</v>
      </c>
      <c r="J188" s="20">
        <v>1063.2</v>
      </c>
      <c r="K188" s="20">
        <v>1395</v>
      </c>
      <c r="L188" s="20">
        <v>476.3</v>
      </c>
      <c r="M188" s="20">
        <v>605.4</v>
      </c>
      <c r="N188" s="20">
        <v>1351</v>
      </c>
      <c r="O188" s="20">
        <v>1278.3</v>
      </c>
      <c r="P188" s="20">
        <v>1393.1</v>
      </c>
      <c r="Q188" s="20">
        <v>411.5</v>
      </c>
      <c r="R188" s="20">
        <v>608.20000000000005</v>
      </c>
      <c r="S188" s="20">
        <v>206.4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</row>
    <row r="189" spans="1:25" x14ac:dyDescent="0.25">
      <c r="A189" s="27">
        <f t="shared" si="2"/>
        <v>46200</v>
      </c>
      <c r="B189" s="20">
        <v>0</v>
      </c>
      <c r="C189" s="20">
        <v>0</v>
      </c>
      <c r="D189" s="20">
        <v>0</v>
      </c>
      <c r="E189" s="20">
        <v>0</v>
      </c>
      <c r="F189" s="20">
        <v>0</v>
      </c>
      <c r="G189" s="20">
        <v>0</v>
      </c>
      <c r="H189" s="20">
        <v>63.5</v>
      </c>
      <c r="I189" s="20">
        <v>361.7</v>
      </c>
      <c r="J189" s="20">
        <v>498</v>
      </c>
      <c r="K189" s="20">
        <v>472.3</v>
      </c>
      <c r="L189" s="20">
        <v>972.2</v>
      </c>
      <c r="M189" s="20">
        <v>906</v>
      </c>
      <c r="N189" s="20">
        <v>420.7</v>
      </c>
      <c r="O189" s="20">
        <v>344</v>
      </c>
      <c r="P189" s="20">
        <v>679.3</v>
      </c>
      <c r="Q189" s="20">
        <v>368.5</v>
      </c>
      <c r="R189" s="20">
        <v>108.4</v>
      </c>
      <c r="S189" s="20">
        <v>44.2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</row>
    <row r="190" spans="1:25" x14ac:dyDescent="0.25">
      <c r="A190" s="27">
        <f t="shared" si="2"/>
        <v>46201</v>
      </c>
      <c r="B190" s="20">
        <v>0</v>
      </c>
      <c r="C190" s="20">
        <v>0</v>
      </c>
      <c r="D190" s="20">
        <v>0</v>
      </c>
      <c r="E190" s="20">
        <v>0</v>
      </c>
      <c r="F190" s="20">
        <v>0</v>
      </c>
      <c r="G190" s="20">
        <v>0</v>
      </c>
      <c r="H190" s="20">
        <v>36.799999999999997</v>
      </c>
      <c r="I190" s="20">
        <v>175.1</v>
      </c>
      <c r="J190" s="20">
        <v>517.6</v>
      </c>
      <c r="K190" s="20">
        <v>680.6</v>
      </c>
      <c r="L190" s="20">
        <v>678.2</v>
      </c>
      <c r="M190" s="20">
        <v>720.9</v>
      </c>
      <c r="N190" s="20">
        <v>929.8</v>
      </c>
      <c r="O190" s="20">
        <v>514.4</v>
      </c>
      <c r="P190" s="20">
        <v>658.1</v>
      </c>
      <c r="Q190" s="20">
        <v>325.60000000000002</v>
      </c>
      <c r="R190" s="20">
        <v>257.60000000000002</v>
      </c>
      <c r="S190" s="20">
        <v>48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</row>
    <row r="191" spans="1:25" x14ac:dyDescent="0.25">
      <c r="A191" s="27">
        <f t="shared" si="2"/>
        <v>46202</v>
      </c>
      <c r="B191" s="20">
        <v>0</v>
      </c>
      <c r="C191" s="20">
        <v>0</v>
      </c>
      <c r="D191" s="20">
        <v>0</v>
      </c>
      <c r="E191" s="20">
        <v>0</v>
      </c>
      <c r="F191" s="20">
        <v>0</v>
      </c>
      <c r="G191" s="20">
        <v>0</v>
      </c>
      <c r="H191" s="20">
        <v>23.3</v>
      </c>
      <c r="I191" s="20">
        <v>274.2</v>
      </c>
      <c r="J191" s="20">
        <v>504.2</v>
      </c>
      <c r="K191" s="20">
        <v>475.1</v>
      </c>
      <c r="L191" s="20">
        <v>938.1</v>
      </c>
      <c r="M191" s="20">
        <v>308.10000000000002</v>
      </c>
      <c r="N191" s="20">
        <v>301.39999999999998</v>
      </c>
      <c r="O191" s="20">
        <v>931.1</v>
      </c>
      <c r="P191" s="20">
        <v>0</v>
      </c>
      <c r="Q191" s="20">
        <v>72.400000000000006</v>
      </c>
      <c r="R191" s="20">
        <v>66.400000000000006</v>
      </c>
      <c r="S191" s="20">
        <v>74.7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</row>
    <row r="192" spans="1:25" x14ac:dyDescent="0.25">
      <c r="A192" s="27">
        <f t="shared" si="2"/>
        <v>46203</v>
      </c>
      <c r="B192" s="20">
        <v>0</v>
      </c>
      <c r="C192" s="20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290.5</v>
      </c>
      <c r="I192" s="20">
        <v>598.6</v>
      </c>
      <c r="J192" s="20">
        <v>488.4</v>
      </c>
      <c r="K192" s="20">
        <v>1373.7</v>
      </c>
      <c r="L192" s="20">
        <v>1330.3</v>
      </c>
      <c r="M192" s="20">
        <v>1227.5999999999999</v>
      </c>
      <c r="N192" s="20">
        <v>1328</v>
      </c>
      <c r="O192" s="20">
        <v>1229</v>
      </c>
      <c r="P192" s="20">
        <v>1343.1</v>
      </c>
      <c r="Q192" s="20">
        <v>467.2</v>
      </c>
      <c r="R192" s="20">
        <v>378.3</v>
      </c>
      <c r="S192" s="20">
        <v>139.4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</row>
    <row r="193" spans="1:35" x14ac:dyDescent="0.25">
      <c r="A193" s="27">
        <f t="shared" si="2"/>
        <v>46204</v>
      </c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>
        <v>0</v>
      </c>
      <c r="H193" s="20">
        <v>259.5</v>
      </c>
      <c r="I193" s="20">
        <v>627.4</v>
      </c>
      <c r="J193" s="20">
        <v>532</v>
      </c>
      <c r="K193" s="20">
        <v>1283.6</v>
      </c>
      <c r="L193" s="20">
        <v>996.6</v>
      </c>
      <c r="M193" s="20">
        <v>1358.4</v>
      </c>
      <c r="N193" s="20">
        <v>1394.2</v>
      </c>
      <c r="O193" s="20">
        <v>410</v>
      </c>
      <c r="P193" s="20">
        <v>157.9</v>
      </c>
      <c r="Q193" s="20">
        <v>196.4</v>
      </c>
      <c r="R193" s="20">
        <v>294.1</v>
      </c>
      <c r="S193" s="20">
        <v>137.8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</row>
    <row r="194" spans="1:35" x14ac:dyDescent="0.25">
      <c r="A194" s="27">
        <f t="shared" si="2"/>
        <v>46205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182.3</v>
      </c>
      <c r="I194" s="20">
        <v>434.9</v>
      </c>
      <c r="J194" s="20">
        <v>794.3</v>
      </c>
      <c r="K194" s="20">
        <v>1100.1</v>
      </c>
      <c r="L194" s="20">
        <v>751.3</v>
      </c>
      <c r="M194" s="20">
        <v>1395.4</v>
      </c>
      <c r="N194" s="20">
        <v>1215.8</v>
      </c>
      <c r="O194" s="20">
        <v>931.4</v>
      </c>
      <c r="P194" s="20">
        <v>213</v>
      </c>
      <c r="Q194" s="20">
        <v>56.1</v>
      </c>
      <c r="R194" s="20">
        <v>98</v>
      </c>
      <c r="S194" s="20">
        <v>83.7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</row>
    <row r="195" spans="1:35" x14ac:dyDescent="0.25">
      <c r="A195" s="27">
        <f t="shared" si="2"/>
        <v>46206</v>
      </c>
      <c r="B195" s="20">
        <v>0</v>
      </c>
      <c r="C195" s="20">
        <v>0</v>
      </c>
      <c r="D195" s="20">
        <v>0</v>
      </c>
      <c r="E195" s="20">
        <v>0</v>
      </c>
      <c r="F195" s="20">
        <v>0</v>
      </c>
      <c r="G195" s="20">
        <v>36</v>
      </c>
      <c r="H195" s="20">
        <v>197.1</v>
      </c>
      <c r="I195" s="20">
        <v>468.7</v>
      </c>
      <c r="J195" s="20">
        <v>651.6</v>
      </c>
      <c r="K195" s="20">
        <v>1331.3</v>
      </c>
      <c r="L195" s="20">
        <v>1174.5</v>
      </c>
      <c r="M195" s="20">
        <v>1219.7</v>
      </c>
      <c r="N195" s="20">
        <v>1043.8</v>
      </c>
      <c r="O195" s="20">
        <v>861.3</v>
      </c>
      <c r="P195" s="20">
        <v>932.4</v>
      </c>
      <c r="Q195" s="20">
        <v>283.3</v>
      </c>
      <c r="R195" s="20">
        <v>47.5</v>
      </c>
      <c r="S195" s="20">
        <v>38.8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</row>
    <row r="196" spans="1:35" x14ac:dyDescent="0.25">
      <c r="A196" s="27">
        <f t="shared" si="2"/>
        <v>46207</v>
      </c>
      <c r="B196" s="20">
        <v>0</v>
      </c>
      <c r="C196" s="20">
        <v>0</v>
      </c>
      <c r="D196" s="20">
        <v>0</v>
      </c>
      <c r="E196" s="20">
        <v>0</v>
      </c>
      <c r="F196" s="20">
        <v>0</v>
      </c>
      <c r="G196" s="20">
        <v>37.3</v>
      </c>
      <c r="H196" s="20">
        <v>163.4</v>
      </c>
      <c r="I196" s="20">
        <v>488.1</v>
      </c>
      <c r="J196" s="20">
        <v>677.7</v>
      </c>
      <c r="K196" s="20">
        <v>1166.5</v>
      </c>
      <c r="L196" s="20">
        <v>1023.2</v>
      </c>
      <c r="M196" s="20">
        <v>1066.6</v>
      </c>
      <c r="N196" s="20">
        <v>950.7</v>
      </c>
      <c r="O196" s="20">
        <v>969.9</v>
      </c>
      <c r="P196" s="20">
        <v>561.8</v>
      </c>
      <c r="Q196" s="20">
        <v>464.6</v>
      </c>
      <c r="R196" s="20">
        <v>237.2</v>
      </c>
      <c r="S196" s="20">
        <v>92.8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</row>
    <row r="197" spans="1:35" x14ac:dyDescent="0.25">
      <c r="A197" s="27">
        <f t="shared" si="2"/>
        <v>46208</v>
      </c>
      <c r="B197" s="20">
        <v>0</v>
      </c>
      <c r="C197" s="20">
        <v>0</v>
      </c>
      <c r="D197" s="20">
        <v>0</v>
      </c>
      <c r="E197" s="20">
        <v>0</v>
      </c>
      <c r="F197" s="20">
        <v>0</v>
      </c>
      <c r="G197" s="20">
        <v>37.3</v>
      </c>
      <c r="H197" s="20">
        <v>159</v>
      </c>
      <c r="I197" s="20">
        <v>624.5</v>
      </c>
      <c r="J197" s="20">
        <v>1142.6</v>
      </c>
      <c r="K197" s="20">
        <v>854</v>
      </c>
      <c r="L197" s="20">
        <v>1172.2</v>
      </c>
      <c r="M197" s="20">
        <v>885.6</v>
      </c>
      <c r="N197" s="20">
        <v>1375.9</v>
      </c>
      <c r="O197" s="20">
        <v>990.6</v>
      </c>
      <c r="P197" s="20">
        <v>1275.7</v>
      </c>
      <c r="Q197" s="20">
        <v>1146.8</v>
      </c>
      <c r="R197" s="20">
        <v>524.1</v>
      </c>
      <c r="S197" s="20">
        <v>192.9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</row>
    <row r="198" spans="1:35" x14ac:dyDescent="0.25">
      <c r="A198" s="27">
        <f t="shared" si="2"/>
        <v>46209</v>
      </c>
      <c r="B198" s="20">
        <v>0</v>
      </c>
      <c r="C198" s="20">
        <v>0</v>
      </c>
      <c r="D198" s="20">
        <v>0</v>
      </c>
      <c r="E198" s="20">
        <v>0</v>
      </c>
      <c r="F198" s="20">
        <v>0</v>
      </c>
      <c r="G198" s="20">
        <v>36.9</v>
      </c>
      <c r="H198" s="20">
        <v>212.3</v>
      </c>
      <c r="I198" s="20">
        <v>594.6</v>
      </c>
      <c r="J198" s="20">
        <v>1042.8</v>
      </c>
      <c r="K198" s="20">
        <v>1395.9</v>
      </c>
      <c r="L198" s="20">
        <v>458.8</v>
      </c>
      <c r="M198" s="20">
        <v>737.1</v>
      </c>
      <c r="N198" s="20">
        <v>489.4</v>
      </c>
      <c r="O198" s="20">
        <v>774.1</v>
      </c>
      <c r="P198" s="20">
        <v>327.8</v>
      </c>
      <c r="Q198" s="20">
        <v>1026</v>
      </c>
      <c r="R198" s="20">
        <v>525.3</v>
      </c>
      <c r="S198" s="20">
        <v>120.4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</row>
    <row r="199" spans="1:35" x14ac:dyDescent="0.25">
      <c r="A199" s="27">
        <f t="shared" si="2"/>
        <v>46210</v>
      </c>
      <c r="B199" s="20">
        <v>0</v>
      </c>
      <c r="C199" s="20">
        <v>0</v>
      </c>
      <c r="D199" s="20">
        <v>0</v>
      </c>
      <c r="E199" s="20">
        <v>0</v>
      </c>
      <c r="F199" s="20">
        <v>0</v>
      </c>
      <c r="G199" s="20">
        <v>38.1</v>
      </c>
      <c r="H199" s="20">
        <v>218.5</v>
      </c>
      <c r="I199" s="20">
        <v>582.6</v>
      </c>
      <c r="J199" s="20">
        <v>1043.7</v>
      </c>
      <c r="K199" s="20">
        <v>1371</v>
      </c>
      <c r="L199" s="20">
        <v>1396</v>
      </c>
      <c r="M199" s="20">
        <v>1345.2</v>
      </c>
      <c r="N199" s="20">
        <v>1357.1</v>
      </c>
      <c r="O199" s="20">
        <v>1375.1</v>
      </c>
      <c r="P199" s="20">
        <v>1384.3</v>
      </c>
      <c r="Q199" s="20">
        <v>1057.5</v>
      </c>
      <c r="R199" s="20">
        <v>248</v>
      </c>
      <c r="S199" s="20">
        <v>188.3</v>
      </c>
      <c r="T199" s="20">
        <v>27.3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</row>
    <row r="200" spans="1:35" x14ac:dyDescent="0.25">
      <c r="A200" s="27">
        <f t="shared" si="2"/>
        <v>46211</v>
      </c>
      <c r="B200" s="20">
        <v>0</v>
      </c>
      <c r="C200" s="20">
        <v>0</v>
      </c>
      <c r="D200" s="20">
        <v>0</v>
      </c>
      <c r="E200" s="20">
        <v>0</v>
      </c>
      <c r="F200" s="20">
        <v>0</v>
      </c>
      <c r="G200" s="20">
        <v>0</v>
      </c>
      <c r="H200" s="20">
        <v>170.4</v>
      </c>
      <c r="I200" s="20">
        <v>544.2</v>
      </c>
      <c r="J200" s="20">
        <v>963.4</v>
      </c>
      <c r="K200" s="20">
        <v>1390.8</v>
      </c>
      <c r="L200" s="20">
        <v>979.2</v>
      </c>
      <c r="M200" s="20">
        <v>1362.2</v>
      </c>
      <c r="N200" s="20">
        <v>606.3</v>
      </c>
      <c r="O200" s="20">
        <v>1393.7</v>
      </c>
      <c r="P200" s="20">
        <v>972.6</v>
      </c>
      <c r="Q200" s="20">
        <v>552.9</v>
      </c>
      <c r="R200" s="20">
        <v>406.5</v>
      </c>
      <c r="S200" s="20">
        <v>177.9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</row>
    <row r="201" spans="1:35" x14ac:dyDescent="0.25">
      <c r="A201" s="27">
        <f t="shared" si="2"/>
        <v>46212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184.3</v>
      </c>
      <c r="I201" s="20">
        <v>619.3</v>
      </c>
      <c r="J201" s="20">
        <v>897.5</v>
      </c>
      <c r="K201" s="20">
        <v>687.1</v>
      </c>
      <c r="L201" s="20">
        <v>931.5</v>
      </c>
      <c r="M201" s="20">
        <v>445.2</v>
      </c>
      <c r="N201" s="20">
        <v>810.2</v>
      </c>
      <c r="O201" s="20">
        <v>844.7</v>
      </c>
      <c r="P201" s="20">
        <v>611</v>
      </c>
      <c r="Q201" s="20">
        <v>398.1</v>
      </c>
      <c r="R201" s="20">
        <v>277.9</v>
      </c>
      <c r="S201" s="20">
        <v>143.2</v>
      </c>
      <c r="T201" s="20">
        <v>0</v>
      </c>
      <c r="U201" s="20">
        <v>0</v>
      </c>
      <c r="V201" s="20">
        <v>0</v>
      </c>
      <c r="W201" s="20">
        <v>0</v>
      </c>
      <c r="X201" s="20">
        <v>0</v>
      </c>
      <c r="Y201" s="20">
        <v>0</v>
      </c>
    </row>
    <row r="202" spans="1:35" x14ac:dyDescent="0.25">
      <c r="A202" s="27">
        <f t="shared" si="2"/>
        <v>46213</v>
      </c>
      <c r="B202" s="20">
        <v>0</v>
      </c>
      <c r="C202" s="20">
        <v>0</v>
      </c>
      <c r="D202" s="20">
        <v>0</v>
      </c>
      <c r="E202" s="20">
        <v>0</v>
      </c>
      <c r="F202" s="20">
        <v>0</v>
      </c>
      <c r="G202" s="20">
        <v>0</v>
      </c>
      <c r="H202" s="20">
        <v>198.6</v>
      </c>
      <c r="I202" s="20">
        <v>350.3</v>
      </c>
      <c r="J202" s="20">
        <v>566.1</v>
      </c>
      <c r="K202" s="20">
        <v>751.2</v>
      </c>
      <c r="L202" s="20">
        <v>913</v>
      </c>
      <c r="M202" s="20">
        <v>1376.7</v>
      </c>
      <c r="N202" s="20">
        <v>918.4</v>
      </c>
      <c r="O202" s="20">
        <v>798.8</v>
      </c>
      <c r="P202" s="20">
        <v>619.1</v>
      </c>
      <c r="Q202" s="20">
        <v>563.1</v>
      </c>
      <c r="R202" s="20">
        <v>214.8</v>
      </c>
      <c r="S202" s="20">
        <v>31.2</v>
      </c>
      <c r="T202" s="20">
        <v>0</v>
      </c>
      <c r="U202" s="20">
        <v>0</v>
      </c>
      <c r="V202" s="20">
        <v>0</v>
      </c>
      <c r="W202" s="20">
        <v>0</v>
      </c>
      <c r="X202" s="20">
        <v>0</v>
      </c>
      <c r="Y202" s="20">
        <v>0</v>
      </c>
    </row>
    <row r="203" spans="1:35" x14ac:dyDescent="0.25">
      <c r="A203" s="27">
        <f t="shared" si="2"/>
        <v>46214</v>
      </c>
      <c r="B203" s="20">
        <v>0</v>
      </c>
      <c r="C203" s="20">
        <v>0</v>
      </c>
      <c r="D203" s="20">
        <v>0</v>
      </c>
      <c r="E203" s="20">
        <v>0</v>
      </c>
      <c r="F203" s="20">
        <v>0</v>
      </c>
      <c r="G203" s="20">
        <v>38.1</v>
      </c>
      <c r="H203" s="20">
        <v>265.7</v>
      </c>
      <c r="I203" s="20">
        <v>541.3</v>
      </c>
      <c r="J203" s="20">
        <v>1197.3</v>
      </c>
      <c r="K203" s="20">
        <v>1079.8</v>
      </c>
      <c r="L203" s="20">
        <v>1150.2</v>
      </c>
      <c r="M203" s="20">
        <v>980.4</v>
      </c>
      <c r="N203" s="20">
        <v>671.6</v>
      </c>
      <c r="O203" s="20">
        <v>856.7</v>
      </c>
      <c r="P203" s="20">
        <v>885.2</v>
      </c>
      <c r="Q203" s="20">
        <v>587.8</v>
      </c>
      <c r="R203" s="20">
        <v>181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  <c r="X203" s="20">
        <v>0</v>
      </c>
      <c r="Y203" s="20">
        <v>0</v>
      </c>
    </row>
    <row r="204" spans="1:35" x14ac:dyDescent="0.25">
      <c r="A204" s="27">
        <f t="shared" si="2"/>
        <v>46215</v>
      </c>
      <c r="B204" s="20">
        <v>0</v>
      </c>
      <c r="C204" s="20">
        <v>0</v>
      </c>
      <c r="D204" s="20">
        <v>0</v>
      </c>
      <c r="E204" s="20">
        <v>0</v>
      </c>
      <c r="F204" s="20">
        <v>0</v>
      </c>
      <c r="G204" s="20">
        <v>35.6</v>
      </c>
      <c r="H204" s="20">
        <v>67</v>
      </c>
      <c r="I204" s="20">
        <v>296.1</v>
      </c>
      <c r="J204" s="20">
        <v>625.3</v>
      </c>
      <c r="K204" s="20">
        <v>932.2</v>
      </c>
      <c r="L204" s="20">
        <v>1392.4</v>
      </c>
      <c r="M204" s="20">
        <v>1126.7</v>
      </c>
      <c r="N204" s="20">
        <v>833</v>
      </c>
      <c r="O204" s="20">
        <v>1072.5</v>
      </c>
      <c r="P204" s="20">
        <v>1388.6</v>
      </c>
      <c r="Q204" s="20">
        <v>802.1</v>
      </c>
      <c r="R204" s="20">
        <v>275.4</v>
      </c>
      <c r="S204" s="20">
        <v>133</v>
      </c>
      <c r="T204" s="20">
        <v>0</v>
      </c>
      <c r="U204" s="20">
        <v>0</v>
      </c>
      <c r="V204" s="20">
        <v>0</v>
      </c>
      <c r="W204" s="20">
        <v>0</v>
      </c>
      <c r="X204" s="20">
        <v>0</v>
      </c>
      <c r="Y204" s="20">
        <v>0</v>
      </c>
    </row>
    <row r="205" spans="1:35" x14ac:dyDescent="0.25">
      <c r="A205" s="27">
        <f t="shared" si="2"/>
        <v>46216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37.2</v>
      </c>
      <c r="H205" s="20">
        <v>191.1</v>
      </c>
      <c r="I205" s="20">
        <v>325.5</v>
      </c>
      <c r="J205" s="20">
        <v>664.8</v>
      </c>
      <c r="K205" s="20">
        <v>950.5</v>
      </c>
      <c r="L205" s="20">
        <v>1326.7</v>
      </c>
      <c r="M205" s="20">
        <v>663.7</v>
      </c>
      <c r="N205" s="20">
        <v>895.5</v>
      </c>
      <c r="O205" s="20">
        <v>1168.2</v>
      </c>
      <c r="P205" s="20">
        <v>377.8</v>
      </c>
      <c r="Q205" s="20">
        <v>274.3</v>
      </c>
      <c r="R205" s="20">
        <v>208.1</v>
      </c>
      <c r="S205" s="20">
        <v>122.6</v>
      </c>
      <c r="T205" s="20">
        <v>0</v>
      </c>
      <c r="U205" s="20">
        <v>0</v>
      </c>
      <c r="V205" s="20">
        <v>0</v>
      </c>
      <c r="W205" s="20">
        <v>0</v>
      </c>
      <c r="X205" s="20">
        <v>0</v>
      </c>
      <c r="Y205" s="20">
        <v>0</v>
      </c>
    </row>
    <row r="206" spans="1:35" x14ac:dyDescent="0.25">
      <c r="A206" s="27">
        <f t="shared" ref="A206:A269" si="3">+A205+1</f>
        <v>46217</v>
      </c>
      <c r="B206" s="20">
        <v>0</v>
      </c>
      <c r="C206" s="20">
        <v>0</v>
      </c>
      <c r="D206" s="20">
        <v>0</v>
      </c>
      <c r="E206" s="20">
        <v>0</v>
      </c>
      <c r="F206" s="20">
        <v>0</v>
      </c>
      <c r="G206" s="20">
        <v>0</v>
      </c>
      <c r="H206" s="20">
        <v>189.9</v>
      </c>
      <c r="I206" s="20">
        <v>412.5</v>
      </c>
      <c r="J206" s="20">
        <v>799.3</v>
      </c>
      <c r="K206" s="20">
        <v>1345</v>
      </c>
      <c r="L206" s="20">
        <v>1339.4</v>
      </c>
      <c r="M206" s="20">
        <v>1322</v>
      </c>
      <c r="N206" s="20">
        <v>706.7</v>
      </c>
      <c r="O206" s="20">
        <v>1379.8</v>
      </c>
      <c r="P206" s="20">
        <v>1370.5</v>
      </c>
      <c r="Q206" s="20">
        <v>1011.9</v>
      </c>
      <c r="R206" s="20">
        <v>334.1</v>
      </c>
      <c r="S206" s="20">
        <v>112.8</v>
      </c>
      <c r="T206" s="20">
        <v>0</v>
      </c>
      <c r="U206" s="20">
        <v>0</v>
      </c>
      <c r="V206" s="20">
        <v>0</v>
      </c>
      <c r="W206" s="20">
        <v>0</v>
      </c>
      <c r="X206" s="20">
        <v>0</v>
      </c>
      <c r="Y206" s="20">
        <v>0</v>
      </c>
    </row>
    <row r="207" spans="1:35" x14ac:dyDescent="0.25">
      <c r="A207" s="27">
        <f t="shared" si="3"/>
        <v>46218</v>
      </c>
      <c r="B207" s="20">
        <v>0</v>
      </c>
      <c r="C207" s="20">
        <v>0</v>
      </c>
      <c r="D207" s="20">
        <v>0</v>
      </c>
      <c r="E207" s="20">
        <v>0</v>
      </c>
      <c r="F207" s="20">
        <v>0</v>
      </c>
      <c r="G207" s="20">
        <v>0</v>
      </c>
      <c r="H207" s="20">
        <v>240</v>
      </c>
      <c r="I207" s="20">
        <v>644.4</v>
      </c>
      <c r="J207" s="20">
        <v>1061.6</v>
      </c>
      <c r="K207" s="20">
        <v>1395.8</v>
      </c>
      <c r="L207" s="20">
        <v>542.2</v>
      </c>
      <c r="M207" s="20">
        <v>1329.7</v>
      </c>
      <c r="N207" s="20">
        <v>1374.1</v>
      </c>
      <c r="O207" s="20">
        <v>1309.6</v>
      </c>
      <c r="P207" s="20">
        <v>806</v>
      </c>
      <c r="Q207" s="20">
        <v>368.3</v>
      </c>
      <c r="R207" s="20">
        <v>545.1</v>
      </c>
      <c r="S207" s="20">
        <v>171.1</v>
      </c>
      <c r="T207" s="20">
        <v>0</v>
      </c>
      <c r="U207" s="20">
        <v>0</v>
      </c>
      <c r="V207" s="20">
        <v>0</v>
      </c>
      <c r="W207" s="20">
        <v>0</v>
      </c>
      <c r="X207" s="20">
        <v>0</v>
      </c>
      <c r="Y207" s="20">
        <v>0</v>
      </c>
    </row>
    <row r="208" spans="1:35" x14ac:dyDescent="0.25">
      <c r="A208" s="27">
        <f t="shared" si="3"/>
        <v>46219</v>
      </c>
      <c r="B208" s="20">
        <v>0</v>
      </c>
      <c r="C208" s="20">
        <v>0</v>
      </c>
      <c r="D208" s="20">
        <v>0</v>
      </c>
      <c r="E208" s="20">
        <v>0</v>
      </c>
      <c r="F208" s="20">
        <v>0</v>
      </c>
      <c r="G208" s="20">
        <v>0</v>
      </c>
      <c r="H208" s="20">
        <v>142.1</v>
      </c>
      <c r="I208" s="20">
        <v>664.9</v>
      </c>
      <c r="J208" s="20">
        <v>555.3</v>
      </c>
      <c r="K208" s="20">
        <v>404.9</v>
      </c>
      <c r="L208" s="20">
        <v>575.6</v>
      </c>
      <c r="M208" s="20">
        <v>1378.9</v>
      </c>
      <c r="N208" s="20">
        <v>1349.9</v>
      </c>
      <c r="O208" s="20">
        <v>1392.2</v>
      </c>
      <c r="P208" s="20">
        <v>1181.6</v>
      </c>
      <c r="Q208" s="20">
        <v>1022.8</v>
      </c>
      <c r="R208" s="20">
        <v>204.4</v>
      </c>
      <c r="S208" s="20">
        <v>143.7</v>
      </c>
      <c r="T208" s="20">
        <v>0</v>
      </c>
      <c r="U208" s="20">
        <v>0</v>
      </c>
      <c r="V208" s="20">
        <v>0</v>
      </c>
      <c r="W208" s="20">
        <v>0</v>
      </c>
      <c r="X208" s="20">
        <v>0</v>
      </c>
      <c r="Y208" s="20">
        <v>0</v>
      </c>
    </row>
    <row r="209" spans="1:25" x14ac:dyDescent="0.25">
      <c r="A209" s="27">
        <f t="shared" si="3"/>
        <v>46220</v>
      </c>
      <c r="B209" s="20">
        <v>0</v>
      </c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20">
        <v>297.5</v>
      </c>
      <c r="I209" s="20">
        <v>668.7</v>
      </c>
      <c r="J209" s="20">
        <v>1166.4</v>
      </c>
      <c r="K209" s="20">
        <v>1383</v>
      </c>
      <c r="L209" s="20">
        <v>1394.8</v>
      </c>
      <c r="M209" s="20">
        <v>1391.8</v>
      </c>
      <c r="N209" s="20">
        <v>1355.4</v>
      </c>
      <c r="O209" s="20">
        <v>675.5</v>
      </c>
      <c r="P209" s="20">
        <v>478.3</v>
      </c>
      <c r="Q209" s="20">
        <v>871.4</v>
      </c>
      <c r="R209" s="20">
        <v>347.8</v>
      </c>
      <c r="S209" s="20">
        <v>136.3</v>
      </c>
      <c r="T209" s="20">
        <v>0</v>
      </c>
      <c r="U209" s="20">
        <v>0</v>
      </c>
      <c r="V209" s="20">
        <v>0</v>
      </c>
      <c r="W209" s="20">
        <v>0</v>
      </c>
      <c r="X209" s="20">
        <v>0</v>
      </c>
      <c r="Y209" s="20">
        <v>0</v>
      </c>
    </row>
    <row r="210" spans="1:25" x14ac:dyDescent="0.25">
      <c r="A210" s="27">
        <f t="shared" si="3"/>
        <v>46221</v>
      </c>
      <c r="B210" s="20">
        <v>0</v>
      </c>
      <c r="C210" s="20">
        <v>0</v>
      </c>
      <c r="D210" s="20">
        <v>0</v>
      </c>
      <c r="E210" s="20">
        <v>0</v>
      </c>
      <c r="F210" s="20">
        <v>0</v>
      </c>
      <c r="G210" s="20">
        <v>36.4</v>
      </c>
      <c r="H210" s="20">
        <v>283.3</v>
      </c>
      <c r="I210" s="20">
        <v>572.1</v>
      </c>
      <c r="J210" s="20">
        <v>991.6</v>
      </c>
      <c r="K210" s="20">
        <v>947.4</v>
      </c>
      <c r="L210" s="20">
        <v>1301.3</v>
      </c>
      <c r="M210" s="20">
        <v>560</v>
      </c>
      <c r="N210" s="20">
        <v>1347.8</v>
      </c>
      <c r="O210" s="20">
        <v>1371.2</v>
      </c>
      <c r="P210" s="20">
        <v>318.4</v>
      </c>
      <c r="Q210" s="20">
        <v>508.8</v>
      </c>
      <c r="R210" s="20">
        <v>366.3</v>
      </c>
      <c r="S210" s="20">
        <v>47.7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</row>
    <row r="211" spans="1:25" x14ac:dyDescent="0.25">
      <c r="A211" s="27">
        <f t="shared" si="3"/>
        <v>46222</v>
      </c>
      <c r="B211" s="20">
        <v>0</v>
      </c>
      <c r="C211" s="20">
        <v>0</v>
      </c>
      <c r="D211" s="20">
        <v>0</v>
      </c>
      <c r="E211" s="20">
        <v>0</v>
      </c>
      <c r="F211" s="20">
        <v>0</v>
      </c>
      <c r="G211" s="20">
        <v>38.1</v>
      </c>
      <c r="H211" s="20">
        <v>159.5</v>
      </c>
      <c r="I211" s="20">
        <v>663.4</v>
      </c>
      <c r="J211" s="20">
        <v>1071.1</v>
      </c>
      <c r="K211" s="20">
        <v>1389</v>
      </c>
      <c r="L211" s="20">
        <v>1279.2</v>
      </c>
      <c r="M211" s="20">
        <v>1317.4</v>
      </c>
      <c r="N211" s="20">
        <v>0</v>
      </c>
      <c r="O211" s="20">
        <v>863.2</v>
      </c>
      <c r="P211" s="20">
        <v>233.5</v>
      </c>
      <c r="Q211" s="20">
        <v>242.9</v>
      </c>
      <c r="R211" s="20">
        <v>116.7</v>
      </c>
      <c r="S211" s="20">
        <v>132.8</v>
      </c>
      <c r="T211" s="20">
        <v>0</v>
      </c>
      <c r="U211" s="20">
        <v>0</v>
      </c>
      <c r="V211" s="20">
        <v>0</v>
      </c>
      <c r="W211" s="20">
        <v>0</v>
      </c>
      <c r="X211" s="20">
        <v>0</v>
      </c>
      <c r="Y211" s="20">
        <v>0</v>
      </c>
    </row>
    <row r="212" spans="1:25" x14ac:dyDescent="0.25">
      <c r="A212" s="27">
        <f t="shared" si="3"/>
        <v>46223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37.3</v>
      </c>
      <c r="H212" s="20">
        <v>249.4</v>
      </c>
      <c r="I212" s="20">
        <v>423.7</v>
      </c>
      <c r="J212" s="20">
        <v>570.6</v>
      </c>
      <c r="K212" s="20">
        <v>813.2</v>
      </c>
      <c r="L212" s="20">
        <v>616</v>
      </c>
      <c r="M212" s="20">
        <v>999.6</v>
      </c>
      <c r="N212" s="20">
        <v>931.8</v>
      </c>
      <c r="O212" s="20">
        <v>842.6</v>
      </c>
      <c r="P212" s="20">
        <v>613.4</v>
      </c>
      <c r="Q212" s="20">
        <v>323.8</v>
      </c>
      <c r="R212" s="20">
        <v>267.3</v>
      </c>
      <c r="S212" s="20">
        <v>119</v>
      </c>
      <c r="T212" s="20">
        <v>0</v>
      </c>
      <c r="U212" s="20">
        <v>0</v>
      </c>
      <c r="V212" s="20">
        <v>0</v>
      </c>
      <c r="W212" s="20">
        <v>0</v>
      </c>
      <c r="X212" s="20">
        <v>0</v>
      </c>
      <c r="Y212" s="20">
        <v>0</v>
      </c>
    </row>
    <row r="213" spans="1:25" x14ac:dyDescent="0.25">
      <c r="A213" s="27">
        <f t="shared" si="3"/>
        <v>46224</v>
      </c>
      <c r="B213" s="20">
        <v>0</v>
      </c>
      <c r="C213" s="20">
        <v>0</v>
      </c>
      <c r="D213" s="20">
        <v>0</v>
      </c>
      <c r="E213" s="20">
        <v>0</v>
      </c>
      <c r="F213" s="20">
        <v>0</v>
      </c>
      <c r="G213" s="20">
        <v>37.7</v>
      </c>
      <c r="H213" s="20">
        <v>116.7</v>
      </c>
      <c r="I213" s="20">
        <v>360.3</v>
      </c>
      <c r="J213" s="20">
        <v>697.8</v>
      </c>
      <c r="K213" s="20">
        <v>1080.8</v>
      </c>
      <c r="L213" s="20">
        <v>1380</v>
      </c>
      <c r="M213" s="20">
        <v>764.6</v>
      </c>
      <c r="N213" s="20">
        <v>1384</v>
      </c>
      <c r="O213" s="20">
        <v>1349</v>
      </c>
      <c r="P213" s="20">
        <v>1394.9</v>
      </c>
      <c r="Q213" s="20">
        <v>120.1</v>
      </c>
      <c r="R213" s="20">
        <v>58.2</v>
      </c>
      <c r="S213" s="20">
        <v>39</v>
      </c>
      <c r="T213" s="20">
        <v>36.4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</row>
    <row r="214" spans="1:25" x14ac:dyDescent="0.25">
      <c r="A214" s="27">
        <f t="shared" si="3"/>
        <v>46225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188.8</v>
      </c>
      <c r="I214" s="20">
        <v>677.9</v>
      </c>
      <c r="J214" s="20">
        <v>434.5</v>
      </c>
      <c r="K214" s="20">
        <v>727.7</v>
      </c>
      <c r="L214" s="20">
        <v>947.5</v>
      </c>
      <c r="M214" s="20">
        <v>1391.9</v>
      </c>
      <c r="N214" s="20">
        <v>655.3</v>
      </c>
      <c r="O214" s="20">
        <v>1348.1</v>
      </c>
      <c r="P214" s="20">
        <v>179.8</v>
      </c>
      <c r="Q214" s="20">
        <v>116.5</v>
      </c>
      <c r="R214" s="20">
        <v>131.8</v>
      </c>
      <c r="S214" s="20">
        <v>99.6</v>
      </c>
      <c r="T214" s="20">
        <v>0</v>
      </c>
      <c r="U214" s="20">
        <v>0</v>
      </c>
      <c r="V214" s="20">
        <v>0</v>
      </c>
      <c r="W214" s="20">
        <v>0</v>
      </c>
      <c r="X214" s="20">
        <v>0</v>
      </c>
      <c r="Y214" s="20">
        <v>0</v>
      </c>
    </row>
    <row r="215" spans="1:25" x14ac:dyDescent="0.25">
      <c r="A215" s="27">
        <f t="shared" si="3"/>
        <v>46226</v>
      </c>
      <c r="B215" s="20">
        <v>0</v>
      </c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191.4</v>
      </c>
      <c r="I215" s="20">
        <v>754.3</v>
      </c>
      <c r="J215" s="20">
        <v>875.2</v>
      </c>
      <c r="K215" s="20">
        <v>625.3</v>
      </c>
      <c r="L215" s="20">
        <v>590.4</v>
      </c>
      <c r="M215" s="20">
        <v>710.7</v>
      </c>
      <c r="N215" s="20">
        <v>1242.7</v>
      </c>
      <c r="O215" s="20">
        <v>514.9</v>
      </c>
      <c r="P215" s="20">
        <v>489.8</v>
      </c>
      <c r="Q215" s="20">
        <v>98.6</v>
      </c>
      <c r="R215" s="20">
        <v>58.4</v>
      </c>
      <c r="S215" s="20">
        <v>44</v>
      </c>
      <c r="T215" s="20">
        <v>0</v>
      </c>
      <c r="U215" s="20">
        <v>0</v>
      </c>
      <c r="V215" s="20">
        <v>0</v>
      </c>
      <c r="W215" s="20">
        <v>0</v>
      </c>
      <c r="X215" s="20">
        <v>0</v>
      </c>
      <c r="Y215" s="20">
        <v>0</v>
      </c>
    </row>
    <row r="216" spans="1:25" x14ac:dyDescent="0.25">
      <c r="A216" s="27">
        <f t="shared" si="3"/>
        <v>46227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36.9</v>
      </c>
      <c r="H216" s="20">
        <v>159.4</v>
      </c>
      <c r="I216" s="20">
        <v>257.6</v>
      </c>
      <c r="J216" s="20">
        <v>667.8</v>
      </c>
      <c r="K216" s="20">
        <v>1377.5</v>
      </c>
      <c r="L216" s="20">
        <v>789.1</v>
      </c>
      <c r="M216" s="20">
        <v>795</v>
      </c>
      <c r="N216" s="20">
        <v>495.7</v>
      </c>
      <c r="O216" s="20">
        <v>705.1</v>
      </c>
      <c r="P216" s="20">
        <v>514.6</v>
      </c>
      <c r="Q216" s="20">
        <v>333.2</v>
      </c>
      <c r="R216" s="20">
        <v>353.7</v>
      </c>
      <c r="S216" s="20">
        <v>103.3</v>
      </c>
      <c r="T216" s="20">
        <v>31.6</v>
      </c>
      <c r="U216" s="20">
        <v>0</v>
      </c>
      <c r="V216" s="20">
        <v>0</v>
      </c>
      <c r="W216" s="20">
        <v>0</v>
      </c>
      <c r="X216" s="20">
        <v>0</v>
      </c>
      <c r="Y216" s="20">
        <v>0</v>
      </c>
    </row>
    <row r="217" spans="1:25" x14ac:dyDescent="0.25">
      <c r="A217" s="27">
        <f t="shared" si="3"/>
        <v>46228</v>
      </c>
      <c r="B217" s="20">
        <v>0</v>
      </c>
      <c r="C217" s="20">
        <v>0</v>
      </c>
      <c r="D217" s="20">
        <v>0</v>
      </c>
      <c r="E217" s="20">
        <v>0</v>
      </c>
      <c r="F217" s="20">
        <v>0</v>
      </c>
      <c r="G217" s="20">
        <v>0</v>
      </c>
      <c r="H217" s="20">
        <v>231.3</v>
      </c>
      <c r="I217" s="20">
        <v>598.8</v>
      </c>
      <c r="J217" s="20">
        <v>1239.4</v>
      </c>
      <c r="K217" s="20">
        <v>1396</v>
      </c>
      <c r="L217" s="20">
        <v>1387.7</v>
      </c>
      <c r="M217" s="20">
        <v>1052.2</v>
      </c>
      <c r="N217" s="20">
        <v>1393.3</v>
      </c>
      <c r="O217" s="20">
        <v>1352.5</v>
      </c>
      <c r="P217" s="20">
        <v>1367.5</v>
      </c>
      <c r="Q217" s="20">
        <v>163.8</v>
      </c>
      <c r="R217" s="20">
        <v>223.9</v>
      </c>
      <c r="S217" s="20">
        <v>135.3</v>
      </c>
      <c r="T217" s="20">
        <v>0</v>
      </c>
      <c r="U217" s="20">
        <v>0</v>
      </c>
      <c r="V217" s="20">
        <v>0</v>
      </c>
      <c r="W217" s="20">
        <v>0</v>
      </c>
      <c r="X217" s="20">
        <v>0</v>
      </c>
      <c r="Y217" s="20">
        <v>0</v>
      </c>
    </row>
    <row r="218" spans="1:25" x14ac:dyDescent="0.25">
      <c r="A218" s="27">
        <f t="shared" si="3"/>
        <v>46229</v>
      </c>
      <c r="B218" s="20">
        <v>0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>
        <v>218.4</v>
      </c>
      <c r="I218" s="20">
        <v>645</v>
      </c>
      <c r="J218" s="20">
        <v>893.8</v>
      </c>
      <c r="K218" s="20">
        <v>1362.7</v>
      </c>
      <c r="L218" s="20">
        <v>559</v>
      </c>
      <c r="M218" s="20">
        <v>801</v>
      </c>
      <c r="N218" s="20">
        <v>956.5</v>
      </c>
      <c r="O218" s="20">
        <v>216.9</v>
      </c>
      <c r="P218" s="20">
        <v>405.4</v>
      </c>
      <c r="Q218" s="20">
        <v>342.3</v>
      </c>
      <c r="R218" s="20">
        <v>265</v>
      </c>
      <c r="S218" s="20">
        <v>137.5</v>
      </c>
      <c r="T218" s="20">
        <v>0</v>
      </c>
      <c r="U218" s="20">
        <v>0</v>
      </c>
      <c r="V218" s="20">
        <v>0</v>
      </c>
      <c r="W218" s="20">
        <v>0</v>
      </c>
      <c r="X218" s="20">
        <v>0</v>
      </c>
      <c r="Y218" s="20">
        <v>0</v>
      </c>
    </row>
    <row r="219" spans="1:25" x14ac:dyDescent="0.25">
      <c r="A219" s="27">
        <f t="shared" si="3"/>
        <v>46230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35.9</v>
      </c>
      <c r="H219" s="20">
        <v>308</v>
      </c>
      <c r="I219" s="20">
        <v>635.7</v>
      </c>
      <c r="J219" s="20">
        <v>859.3</v>
      </c>
      <c r="K219" s="20">
        <v>1263.3</v>
      </c>
      <c r="L219" s="20">
        <v>1393.2</v>
      </c>
      <c r="M219" s="20">
        <v>1333.3</v>
      </c>
      <c r="N219" s="20">
        <v>565.6</v>
      </c>
      <c r="O219" s="20">
        <v>721.3</v>
      </c>
      <c r="P219" s="20">
        <v>427.3</v>
      </c>
      <c r="Q219" s="20">
        <v>416.5</v>
      </c>
      <c r="R219" s="20">
        <v>360.3</v>
      </c>
      <c r="S219" s="20">
        <v>60.1</v>
      </c>
      <c r="T219" s="20">
        <v>0</v>
      </c>
      <c r="U219" s="20">
        <v>0</v>
      </c>
      <c r="V219" s="20">
        <v>0</v>
      </c>
      <c r="W219" s="20">
        <v>0</v>
      </c>
      <c r="X219" s="20">
        <v>0</v>
      </c>
      <c r="Y219" s="20">
        <v>0</v>
      </c>
    </row>
    <row r="220" spans="1:25" x14ac:dyDescent="0.25">
      <c r="A220" s="27">
        <f t="shared" si="3"/>
        <v>46231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37.2</v>
      </c>
      <c r="H220" s="20">
        <v>148.5</v>
      </c>
      <c r="I220" s="20">
        <v>395.8</v>
      </c>
      <c r="J220" s="20">
        <v>840.8</v>
      </c>
      <c r="K220" s="20">
        <v>1392.4</v>
      </c>
      <c r="L220" s="20">
        <v>1390.9</v>
      </c>
      <c r="M220" s="20">
        <v>622.9</v>
      </c>
      <c r="N220" s="20">
        <v>1395.4</v>
      </c>
      <c r="O220" s="20">
        <v>1390</v>
      </c>
      <c r="P220" s="20">
        <v>0</v>
      </c>
      <c r="Q220" s="20">
        <v>1026.4</v>
      </c>
      <c r="R220" s="20">
        <v>425.8</v>
      </c>
      <c r="S220" s="20">
        <v>141.4</v>
      </c>
      <c r="T220" s="20">
        <v>0</v>
      </c>
      <c r="U220" s="20">
        <v>0</v>
      </c>
      <c r="V220" s="20">
        <v>0</v>
      </c>
      <c r="W220" s="20">
        <v>0</v>
      </c>
      <c r="X220" s="20">
        <v>0</v>
      </c>
      <c r="Y220" s="20">
        <v>0</v>
      </c>
    </row>
    <row r="221" spans="1:25" x14ac:dyDescent="0.25">
      <c r="A221" s="27">
        <f t="shared" si="3"/>
        <v>46232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37.1</v>
      </c>
      <c r="H221" s="20">
        <v>257.3</v>
      </c>
      <c r="I221" s="20">
        <v>628.6</v>
      </c>
      <c r="J221" s="20">
        <v>1057.4</v>
      </c>
      <c r="K221" s="20">
        <v>1348.4</v>
      </c>
      <c r="L221" s="20">
        <v>514.6</v>
      </c>
      <c r="M221" s="20">
        <v>522</v>
      </c>
      <c r="N221" s="20">
        <v>1286.3</v>
      </c>
      <c r="O221" s="20">
        <v>1324.9</v>
      </c>
      <c r="P221" s="20">
        <v>1345.6</v>
      </c>
      <c r="Q221" s="20">
        <v>443.2</v>
      </c>
      <c r="R221" s="20">
        <v>623.1</v>
      </c>
      <c r="S221" s="20">
        <v>144.6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</row>
    <row r="222" spans="1:25" x14ac:dyDescent="0.25">
      <c r="A222" s="27">
        <f t="shared" si="3"/>
        <v>46233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37.3</v>
      </c>
      <c r="H222" s="20">
        <v>212.9</v>
      </c>
      <c r="I222" s="20">
        <v>629.5</v>
      </c>
      <c r="J222" s="20">
        <v>1063.2</v>
      </c>
      <c r="K222" s="20">
        <v>1123.7</v>
      </c>
      <c r="L222" s="20">
        <v>1394.5</v>
      </c>
      <c r="M222" s="20">
        <v>933.1</v>
      </c>
      <c r="N222" s="20">
        <v>645.2</v>
      </c>
      <c r="O222" s="20">
        <v>1370.1</v>
      </c>
      <c r="P222" s="20">
        <v>1395.5</v>
      </c>
      <c r="Q222" s="20">
        <v>995.9</v>
      </c>
      <c r="R222" s="20">
        <v>639</v>
      </c>
      <c r="S222" s="20">
        <v>153.8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</row>
    <row r="223" spans="1:25" x14ac:dyDescent="0.25">
      <c r="A223" s="27">
        <f t="shared" si="3"/>
        <v>46234</v>
      </c>
      <c r="B223" s="20">
        <v>0</v>
      </c>
      <c r="C223" s="20">
        <v>0</v>
      </c>
      <c r="D223" s="20">
        <v>0</v>
      </c>
      <c r="E223" s="20">
        <v>0</v>
      </c>
      <c r="F223" s="20">
        <v>0</v>
      </c>
      <c r="G223" s="20">
        <v>0</v>
      </c>
      <c r="H223" s="20">
        <v>254.6</v>
      </c>
      <c r="I223" s="20">
        <v>651.7</v>
      </c>
      <c r="J223" s="20">
        <v>1072.7</v>
      </c>
      <c r="K223" s="20">
        <v>653.4</v>
      </c>
      <c r="L223" s="20">
        <v>1374.6</v>
      </c>
      <c r="M223" s="20">
        <v>1286.8</v>
      </c>
      <c r="N223" s="20">
        <v>1272.9</v>
      </c>
      <c r="O223" s="20">
        <v>832.1</v>
      </c>
      <c r="P223" s="20">
        <v>1388.2</v>
      </c>
      <c r="Q223" s="20">
        <v>959.9</v>
      </c>
      <c r="R223" s="20">
        <v>289.4</v>
      </c>
      <c r="S223" s="20">
        <v>117.4</v>
      </c>
      <c r="T223" s="20">
        <v>0</v>
      </c>
      <c r="U223" s="20">
        <v>0</v>
      </c>
      <c r="V223" s="20">
        <v>0</v>
      </c>
      <c r="W223" s="20">
        <v>0</v>
      </c>
      <c r="X223" s="20">
        <v>0</v>
      </c>
      <c r="Y223" s="20">
        <v>0</v>
      </c>
    </row>
    <row r="224" spans="1:25" x14ac:dyDescent="0.25">
      <c r="A224" s="27">
        <f t="shared" si="3"/>
        <v>46235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183.1</v>
      </c>
      <c r="I224" s="20">
        <v>612.5</v>
      </c>
      <c r="J224" s="20">
        <v>627.3</v>
      </c>
      <c r="K224" s="20">
        <v>822.1</v>
      </c>
      <c r="L224" s="20">
        <v>1389</v>
      </c>
      <c r="M224" s="20">
        <v>1122.5</v>
      </c>
      <c r="N224" s="20">
        <v>820.7</v>
      </c>
      <c r="O224" s="20">
        <v>990.9</v>
      </c>
      <c r="P224" s="20">
        <v>283.1</v>
      </c>
      <c r="Q224" s="20">
        <v>164.2</v>
      </c>
      <c r="R224" s="20">
        <v>48.9</v>
      </c>
      <c r="S224" s="20">
        <v>40.7</v>
      </c>
      <c r="T224" s="20">
        <v>0</v>
      </c>
      <c r="U224" s="20">
        <v>0</v>
      </c>
      <c r="V224" s="20">
        <v>0</v>
      </c>
      <c r="W224" s="20">
        <v>0</v>
      </c>
      <c r="X224" s="20">
        <v>0</v>
      </c>
      <c r="Y224" s="20">
        <v>0</v>
      </c>
    </row>
    <row r="225" spans="1:35" x14ac:dyDescent="0.25">
      <c r="A225" s="27">
        <f t="shared" si="3"/>
        <v>46236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36.2</v>
      </c>
      <c r="H225" s="20">
        <v>155.4</v>
      </c>
      <c r="I225" s="20">
        <v>290</v>
      </c>
      <c r="J225" s="20">
        <v>626.7</v>
      </c>
      <c r="K225" s="20">
        <v>638.6</v>
      </c>
      <c r="L225" s="20">
        <v>469</v>
      </c>
      <c r="M225" s="20">
        <v>815.9</v>
      </c>
      <c r="N225" s="20">
        <v>665.7</v>
      </c>
      <c r="O225" s="20">
        <v>774.7</v>
      </c>
      <c r="P225" s="20">
        <v>1025.8</v>
      </c>
      <c r="Q225" s="20">
        <v>690.2</v>
      </c>
      <c r="R225" s="20">
        <v>204.8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</row>
    <row r="226" spans="1:35" x14ac:dyDescent="0.25">
      <c r="A226" s="27">
        <f t="shared" si="3"/>
        <v>46237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37.8</v>
      </c>
      <c r="H226" s="20">
        <v>212.9</v>
      </c>
      <c r="I226" s="20">
        <v>569.3</v>
      </c>
      <c r="J226" s="20">
        <v>781</v>
      </c>
      <c r="K226" s="20">
        <v>1391.5</v>
      </c>
      <c r="L226" s="20">
        <v>0</v>
      </c>
      <c r="M226" s="20">
        <v>965.8</v>
      </c>
      <c r="N226" s="20">
        <v>1338.2</v>
      </c>
      <c r="O226" s="20">
        <v>712.8</v>
      </c>
      <c r="P226" s="20">
        <v>172.9</v>
      </c>
      <c r="Q226" s="20">
        <v>117</v>
      </c>
      <c r="R226" s="20">
        <v>123.2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  <c r="X226" s="20">
        <v>0</v>
      </c>
      <c r="Y226" s="20">
        <v>0</v>
      </c>
    </row>
    <row r="227" spans="1:35" x14ac:dyDescent="0.25">
      <c r="A227" s="27">
        <f t="shared" si="3"/>
        <v>46238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38.2</v>
      </c>
      <c r="H227" s="20">
        <v>247.5</v>
      </c>
      <c r="I227" s="20">
        <v>591.7</v>
      </c>
      <c r="J227" s="20">
        <v>984.1</v>
      </c>
      <c r="K227" s="20">
        <v>1395.6</v>
      </c>
      <c r="L227" s="20">
        <v>1391.7</v>
      </c>
      <c r="M227" s="20">
        <v>1322.5</v>
      </c>
      <c r="N227" s="20">
        <v>1375.8</v>
      </c>
      <c r="O227" s="20">
        <v>703.5</v>
      </c>
      <c r="P227" s="20">
        <v>864.2</v>
      </c>
      <c r="Q227" s="20">
        <v>969.7</v>
      </c>
      <c r="R227" s="20">
        <v>174.7</v>
      </c>
      <c r="S227" s="20">
        <v>61.3</v>
      </c>
      <c r="T227" s="20">
        <v>0</v>
      </c>
      <c r="U227" s="20">
        <v>0</v>
      </c>
      <c r="V227" s="20">
        <v>0</v>
      </c>
      <c r="W227" s="20">
        <v>0</v>
      </c>
      <c r="X227" s="20">
        <v>0</v>
      </c>
      <c r="Y227" s="20">
        <v>0</v>
      </c>
    </row>
    <row r="228" spans="1:35" x14ac:dyDescent="0.25">
      <c r="A228" s="27">
        <f t="shared" si="3"/>
        <v>46239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37.5</v>
      </c>
      <c r="H228" s="20">
        <v>90.4</v>
      </c>
      <c r="I228" s="20">
        <v>250</v>
      </c>
      <c r="J228" s="20">
        <v>600.5</v>
      </c>
      <c r="K228" s="20">
        <v>1264.5</v>
      </c>
      <c r="L228" s="20">
        <v>1358.8</v>
      </c>
      <c r="M228" s="20">
        <v>1068.2</v>
      </c>
      <c r="N228" s="20">
        <v>1106</v>
      </c>
      <c r="O228" s="20">
        <v>264.6</v>
      </c>
      <c r="P228" s="20">
        <v>1392.8</v>
      </c>
      <c r="Q228" s="20">
        <v>58.2</v>
      </c>
      <c r="R228" s="20">
        <v>64.9</v>
      </c>
      <c r="S228" s="20">
        <v>46.8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</row>
    <row r="229" spans="1:35" x14ac:dyDescent="0.25">
      <c r="A229" s="27">
        <f t="shared" si="3"/>
        <v>46240</v>
      </c>
      <c r="B229" s="20">
        <v>0</v>
      </c>
      <c r="C229" s="20">
        <v>0</v>
      </c>
      <c r="D229" s="20">
        <v>0</v>
      </c>
      <c r="E229" s="20">
        <v>0</v>
      </c>
      <c r="F229" s="20">
        <v>0</v>
      </c>
      <c r="G229" s="20">
        <v>0</v>
      </c>
      <c r="H229" s="20">
        <v>60.3</v>
      </c>
      <c r="I229" s="20">
        <v>215.3</v>
      </c>
      <c r="J229" s="20">
        <v>689.5</v>
      </c>
      <c r="K229" s="20">
        <v>1391.5</v>
      </c>
      <c r="L229" s="20">
        <v>1141.3</v>
      </c>
      <c r="M229" s="20">
        <v>1008.1</v>
      </c>
      <c r="N229" s="20">
        <v>879.3</v>
      </c>
      <c r="O229" s="20">
        <v>775.5</v>
      </c>
      <c r="P229" s="20">
        <v>552.6</v>
      </c>
      <c r="Q229" s="20">
        <v>551.7</v>
      </c>
      <c r="R229" s="20">
        <v>240.2</v>
      </c>
      <c r="S229" s="20">
        <v>152.5</v>
      </c>
      <c r="T229" s="20">
        <v>0</v>
      </c>
      <c r="U229" s="20">
        <v>0</v>
      </c>
      <c r="V229" s="20">
        <v>0</v>
      </c>
      <c r="W229" s="20">
        <v>0</v>
      </c>
      <c r="X229" s="20">
        <v>0</v>
      </c>
      <c r="Y229" s="20">
        <v>0</v>
      </c>
    </row>
    <row r="230" spans="1:35" x14ac:dyDescent="0.25">
      <c r="A230" s="27">
        <f t="shared" si="3"/>
        <v>46241</v>
      </c>
      <c r="B230" s="20">
        <v>0</v>
      </c>
      <c r="C230" s="20">
        <v>0</v>
      </c>
      <c r="D230" s="20">
        <v>0</v>
      </c>
      <c r="E230" s="20">
        <v>0</v>
      </c>
      <c r="F230" s="20">
        <v>0</v>
      </c>
      <c r="G230" s="20">
        <v>35.7</v>
      </c>
      <c r="H230" s="20">
        <v>187.2</v>
      </c>
      <c r="I230" s="20">
        <v>571.1</v>
      </c>
      <c r="J230" s="20">
        <v>665.7</v>
      </c>
      <c r="K230" s="20">
        <v>846.5</v>
      </c>
      <c r="L230" s="20">
        <v>1192.2</v>
      </c>
      <c r="M230" s="20">
        <v>1391.4</v>
      </c>
      <c r="N230" s="20">
        <v>1370.8</v>
      </c>
      <c r="O230" s="20">
        <v>603.2</v>
      </c>
      <c r="P230" s="20">
        <v>534.3</v>
      </c>
      <c r="Q230" s="20">
        <v>610.7</v>
      </c>
      <c r="R230" s="20">
        <v>343.5</v>
      </c>
      <c r="S230" s="20">
        <v>137.6</v>
      </c>
      <c r="T230" s="20">
        <v>0</v>
      </c>
      <c r="U230" s="20">
        <v>0</v>
      </c>
      <c r="V230" s="20">
        <v>0</v>
      </c>
      <c r="W230" s="20">
        <v>0</v>
      </c>
      <c r="X230" s="20">
        <v>0</v>
      </c>
      <c r="Y230" s="20">
        <v>0</v>
      </c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</row>
    <row r="231" spans="1:35" x14ac:dyDescent="0.25">
      <c r="A231" s="27">
        <f t="shared" si="3"/>
        <v>46242</v>
      </c>
      <c r="B231" s="20">
        <v>0</v>
      </c>
      <c r="C231" s="20">
        <v>0</v>
      </c>
      <c r="D231" s="20">
        <v>0</v>
      </c>
      <c r="E231" s="20">
        <v>0</v>
      </c>
      <c r="F231" s="20">
        <v>0</v>
      </c>
      <c r="G231" s="20">
        <v>196.6</v>
      </c>
      <c r="H231" s="20">
        <v>581.9</v>
      </c>
      <c r="I231" s="20">
        <v>1140.4</v>
      </c>
      <c r="J231" s="20">
        <v>1390.3</v>
      </c>
      <c r="K231" s="20">
        <v>0</v>
      </c>
      <c r="L231" s="20">
        <v>1255.6</v>
      </c>
      <c r="M231" s="20">
        <v>1322.9</v>
      </c>
      <c r="N231" s="20">
        <v>269.5</v>
      </c>
      <c r="O231" s="20">
        <v>107.2</v>
      </c>
      <c r="P231" s="20">
        <v>79.4</v>
      </c>
      <c r="Q231" s="20">
        <v>70.5</v>
      </c>
      <c r="R231" s="20">
        <v>51.7</v>
      </c>
      <c r="S231" s="20">
        <v>0</v>
      </c>
      <c r="T231" s="20">
        <v>0</v>
      </c>
      <c r="U231" s="20">
        <v>0</v>
      </c>
      <c r="V231" s="20">
        <v>0</v>
      </c>
      <c r="W231" s="20">
        <v>0</v>
      </c>
      <c r="X231" s="20">
        <v>0</v>
      </c>
      <c r="Y231" s="20">
        <v>0</v>
      </c>
    </row>
    <row r="232" spans="1:35" x14ac:dyDescent="0.25">
      <c r="A232" s="27">
        <f t="shared" si="3"/>
        <v>46243</v>
      </c>
      <c r="B232" s="20">
        <v>0</v>
      </c>
      <c r="C232" s="20">
        <v>0</v>
      </c>
      <c r="D232" s="20">
        <v>0</v>
      </c>
      <c r="E232" s="20">
        <v>0</v>
      </c>
      <c r="F232" s="20">
        <v>0</v>
      </c>
      <c r="G232" s="20">
        <v>36</v>
      </c>
      <c r="H232" s="20">
        <v>192.4</v>
      </c>
      <c r="I232" s="20">
        <v>482.9</v>
      </c>
      <c r="J232" s="20">
        <v>759.5</v>
      </c>
      <c r="K232" s="20">
        <v>997.4</v>
      </c>
      <c r="L232" s="20">
        <v>1383.5</v>
      </c>
      <c r="M232" s="20">
        <v>541.5</v>
      </c>
      <c r="N232" s="20">
        <v>1374.9</v>
      </c>
      <c r="O232" s="20">
        <v>1127.3</v>
      </c>
      <c r="P232" s="20">
        <v>1379.5</v>
      </c>
      <c r="Q232" s="20">
        <v>954.8</v>
      </c>
      <c r="R232" s="20">
        <v>103.7</v>
      </c>
      <c r="S232" s="20">
        <v>63.6</v>
      </c>
      <c r="T232" s="20">
        <v>29.3</v>
      </c>
      <c r="U232" s="20">
        <v>0</v>
      </c>
      <c r="V232" s="20">
        <v>0</v>
      </c>
      <c r="W232" s="20">
        <v>0</v>
      </c>
      <c r="X232" s="20">
        <v>0</v>
      </c>
      <c r="Y232" s="20">
        <v>0</v>
      </c>
    </row>
    <row r="233" spans="1:35" x14ac:dyDescent="0.25">
      <c r="A233" s="27">
        <f t="shared" si="3"/>
        <v>46244</v>
      </c>
      <c r="B233" s="20">
        <v>0</v>
      </c>
      <c r="C233" s="20">
        <v>0</v>
      </c>
      <c r="D233" s="20">
        <v>0</v>
      </c>
      <c r="E233" s="20">
        <v>0</v>
      </c>
      <c r="F233" s="20">
        <v>0</v>
      </c>
      <c r="G233" s="20">
        <v>0</v>
      </c>
      <c r="H233" s="20">
        <v>189.5</v>
      </c>
      <c r="I233" s="20">
        <v>544.4</v>
      </c>
      <c r="J233" s="20">
        <v>1027.1</v>
      </c>
      <c r="K233" s="20">
        <v>785.7</v>
      </c>
      <c r="L233" s="20">
        <v>524.7</v>
      </c>
      <c r="M233" s="20">
        <v>1383.7</v>
      </c>
      <c r="N233" s="20">
        <v>647.1</v>
      </c>
      <c r="O233" s="20">
        <v>613.7</v>
      </c>
      <c r="P233" s="20">
        <v>791.1</v>
      </c>
      <c r="Q233" s="20">
        <v>452.1</v>
      </c>
      <c r="R233" s="20">
        <v>154.4</v>
      </c>
      <c r="S233" s="20">
        <v>192.2</v>
      </c>
      <c r="T233" s="20">
        <v>0</v>
      </c>
      <c r="U233" s="20">
        <v>0</v>
      </c>
      <c r="V233" s="20">
        <v>0</v>
      </c>
      <c r="W233" s="20">
        <v>0</v>
      </c>
      <c r="X233" s="20">
        <v>0</v>
      </c>
      <c r="Y233" s="20">
        <v>0</v>
      </c>
    </row>
    <row r="234" spans="1:35" x14ac:dyDescent="0.25">
      <c r="A234" s="27">
        <f t="shared" si="3"/>
        <v>46245</v>
      </c>
      <c r="B234" s="20">
        <v>0</v>
      </c>
      <c r="C234" s="20">
        <v>0</v>
      </c>
      <c r="D234" s="20">
        <v>0</v>
      </c>
      <c r="E234" s="20">
        <v>0</v>
      </c>
      <c r="F234" s="20">
        <v>0</v>
      </c>
      <c r="G234" s="20">
        <v>0</v>
      </c>
      <c r="H234" s="20">
        <v>200.8</v>
      </c>
      <c r="I234" s="20">
        <v>602.7</v>
      </c>
      <c r="J234" s="20">
        <v>1028.1</v>
      </c>
      <c r="K234" s="20">
        <v>1380.1</v>
      </c>
      <c r="L234" s="20">
        <v>1359.7</v>
      </c>
      <c r="M234" s="20">
        <v>570.8</v>
      </c>
      <c r="N234" s="20">
        <v>841</v>
      </c>
      <c r="O234" s="20">
        <v>1384</v>
      </c>
      <c r="P234" s="20">
        <v>724.5</v>
      </c>
      <c r="Q234" s="20">
        <v>1236.7</v>
      </c>
      <c r="R234" s="20">
        <v>268</v>
      </c>
      <c r="S234" s="20">
        <v>138</v>
      </c>
      <c r="T234" s="20">
        <v>0</v>
      </c>
      <c r="U234" s="20">
        <v>0</v>
      </c>
      <c r="V234" s="20">
        <v>0</v>
      </c>
      <c r="W234" s="20">
        <v>0</v>
      </c>
      <c r="X234" s="20">
        <v>0</v>
      </c>
      <c r="Y234" s="20">
        <v>0</v>
      </c>
    </row>
    <row r="235" spans="1:35" x14ac:dyDescent="0.25">
      <c r="A235" s="27">
        <f t="shared" si="3"/>
        <v>46246</v>
      </c>
      <c r="B235" s="20">
        <v>174</v>
      </c>
      <c r="C235" s="20">
        <v>471</v>
      </c>
      <c r="D235" s="20">
        <v>1018.3</v>
      </c>
      <c r="E235" s="20">
        <v>986.3</v>
      </c>
      <c r="F235" s="20">
        <v>823.5</v>
      </c>
      <c r="G235" s="20">
        <v>335.1</v>
      </c>
      <c r="H235" s="20">
        <v>552.8</v>
      </c>
      <c r="I235" s="20">
        <v>748</v>
      </c>
      <c r="J235" s="20">
        <v>277.4</v>
      </c>
      <c r="K235" s="20">
        <v>500.7</v>
      </c>
      <c r="L235" s="20">
        <v>56.7</v>
      </c>
      <c r="M235" s="20">
        <v>36.8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v>0</v>
      </c>
      <c r="X235" s="20">
        <v>0</v>
      </c>
      <c r="Y235" s="20">
        <v>34.1</v>
      </c>
    </row>
    <row r="236" spans="1:35" x14ac:dyDescent="0.25">
      <c r="A236" s="27">
        <f t="shared" si="3"/>
        <v>46247</v>
      </c>
      <c r="B236" s="20">
        <v>0</v>
      </c>
      <c r="C236" s="20">
        <v>0</v>
      </c>
      <c r="D236" s="20">
        <v>0</v>
      </c>
      <c r="E236" s="20">
        <v>0</v>
      </c>
      <c r="F236" s="20">
        <v>0</v>
      </c>
      <c r="G236" s="20">
        <v>36</v>
      </c>
      <c r="H236" s="20">
        <v>197.5</v>
      </c>
      <c r="I236" s="20">
        <v>716.8</v>
      </c>
      <c r="J236" s="20">
        <v>402.5</v>
      </c>
      <c r="K236" s="20">
        <v>595.1</v>
      </c>
      <c r="L236" s="20">
        <v>822</v>
      </c>
      <c r="M236" s="20">
        <v>1222.1</v>
      </c>
      <c r="N236" s="20">
        <v>1390.4</v>
      </c>
      <c r="O236" s="20">
        <v>1255.7</v>
      </c>
      <c r="P236" s="20">
        <v>685</v>
      </c>
      <c r="Q236" s="20">
        <v>693.8</v>
      </c>
      <c r="R236" s="20">
        <v>376.3</v>
      </c>
      <c r="S236" s="20">
        <v>97.1</v>
      </c>
      <c r="T236" s="20">
        <v>0</v>
      </c>
      <c r="U236" s="20">
        <v>0</v>
      </c>
      <c r="V236" s="20">
        <v>0</v>
      </c>
      <c r="W236" s="20">
        <v>0</v>
      </c>
      <c r="X236" s="20">
        <v>0</v>
      </c>
      <c r="Y236" s="20">
        <v>0</v>
      </c>
    </row>
    <row r="237" spans="1:35" x14ac:dyDescent="0.25">
      <c r="A237" s="27">
        <f t="shared" si="3"/>
        <v>46248</v>
      </c>
      <c r="B237" s="20">
        <v>0</v>
      </c>
      <c r="C237" s="20">
        <v>0</v>
      </c>
      <c r="D237" s="20">
        <v>0</v>
      </c>
      <c r="E237" s="20">
        <v>0</v>
      </c>
      <c r="F237" s="20">
        <v>0</v>
      </c>
      <c r="G237" s="20">
        <v>36</v>
      </c>
      <c r="H237" s="20">
        <v>69.9</v>
      </c>
      <c r="I237" s="20">
        <v>199.2</v>
      </c>
      <c r="J237" s="20">
        <v>449.7</v>
      </c>
      <c r="K237" s="20">
        <v>1099.3</v>
      </c>
      <c r="L237" s="20">
        <v>993.2</v>
      </c>
      <c r="M237" s="20">
        <v>1375.2</v>
      </c>
      <c r="N237" s="20">
        <v>776.5</v>
      </c>
      <c r="O237" s="20">
        <v>1022.2</v>
      </c>
      <c r="P237" s="20">
        <v>1380.8</v>
      </c>
      <c r="Q237" s="20">
        <v>951.4</v>
      </c>
      <c r="R237" s="20">
        <v>105.5</v>
      </c>
      <c r="S237" s="20">
        <v>42.5</v>
      </c>
      <c r="T237" s="20">
        <v>0</v>
      </c>
      <c r="U237" s="20">
        <v>0</v>
      </c>
      <c r="V237" s="20">
        <v>0</v>
      </c>
      <c r="W237" s="20">
        <v>0</v>
      </c>
      <c r="X237" s="20">
        <v>0</v>
      </c>
      <c r="Y237" s="20">
        <v>0</v>
      </c>
    </row>
    <row r="238" spans="1:35" x14ac:dyDescent="0.25">
      <c r="A238" s="27">
        <f t="shared" si="3"/>
        <v>46249</v>
      </c>
      <c r="B238" s="20">
        <v>0</v>
      </c>
      <c r="C238" s="20">
        <v>0</v>
      </c>
      <c r="D238" s="20">
        <v>0</v>
      </c>
      <c r="E238" s="20">
        <v>0</v>
      </c>
      <c r="F238" s="20">
        <v>0</v>
      </c>
      <c r="G238" s="20">
        <v>34.3</v>
      </c>
      <c r="H238" s="20">
        <v>189</v>
      </c>
      <c r="I238" s="20">
        <v>354.5</v>
      </c>
      <c r="J238" s="20">
        <v>1087.5</v>
      </c>
      <c r="K238" s="20">
        <v>1197.2</v>
      </c>
      <c r="L238" s="20">
        <v>554.3</v>
      </c>
      <c r="M238" s="20">
        <v>690.4</v>
      </c>
      <c r="N238" s="20">
        <v>815</v>
      </c>
      <c r="O238" s="20">
        <v>632.7</v>
      </c>
      <c r="P238" s="20">
        <v>580.7</v>
      </c>
      <c r="Q238" s="20">
        <v>156.8</v>
      </c>
      <c r="R238" s="20">
        <v>51.7</v>
      </c>
      <c r="S238" s="20">
        <v>38.1</v>
      </c>
      <c r="T238" s="20">
        <v>0</v>
      </c>
      <c r="U238" s="20">
        <v>0</v>
      </c>
      <c r="V238" s="20">
        <v>0</v>
      </c>
      <c r="W238" s="20">
        <v>0</v>
      </c>
      <c r="X238" s="20">
        <v>0</v>
      </c>
      <c r="Y238" s="20">
        <v>0</v>
      </c>
    </row>
    <row r="239" spans="1:35" x14ac:dyDescent="0.25">
      <c r="A239" s="27">
        <f t="shared" si="3"/>
        <v>46250</v>
      </c>
      <c r="B239" s="20">
        <v>0</v>
      </c>
      <c r="C239" s="20">
        <v>0</v>
      </c>
      <c r="D239" s="20">
        <v>0</v>
      </c>
      <c r="E239" s="20">
        <v>0</v>
      </c>
      <c r="F239" s="20">
        <v>0</v>
      </c>
      <c r="G239" s="20">
        <v>35.1</v>
      </c>
      <c r="H239" s="20">
        <v>248.9</v>
      </c>
      <c r="I239" s="20">
        <v>911.9</v>
      </c>
      <c r="J239" s="20">
        <v>1163.1</v>
      </c>
      <c r="K239" s="20">
        <v>1199.6</v>
      </c>
      <c r="L239" s="20">
        <v>1381.4</v>
      </c>
      <c r="M239" s="20">
        <v>1375.1</v>
      </c>
      <c r="N239" s="20">
        <v>753.7</v>
      </c>
      <c r="O239" s="20">
        <v>543.4</v>
      </c>
      <c r="P239" s="20">
        <v>43.8</v>
      </c>
      <c r="Q239" s="20">
        <v>61.5</v>
      </c>
      <c r="R239" s="20">
        <v>60</v>
      </c>
      <c r="S239" s="20">
        <v>42.2</v>
      </c>
      <c r="T239" s="20">
        <v>0</v>
      </c>
      <c r="U239" s="20">
        <v>0</v>
      </c>
      <c r="V239" s="20">
        <v>0</v>
      </c>
      <c r="W239" s="20">
        <v>0</v>
      </c>
      <c r="X239" s="20">
        <v>0</v>
      </c>
      <c r="Y239" s="20">
        <v>0</v>
      </c>
    </row>
    <row r="240" spans="1:35" x14ac:dyDescent="0.25">
      <c r="A240" s="27">
        <f t="shared" si="3"/>
        <v>46251</v>
      </c>
      <c r="B240" s="20">
        <v>0</v>
      </c>
      <c r="C240" s="20">
        <v>0</v>
      </c>
      <c r="D240" s="20">
        <v>0</v>
      </c>
      <c r="E240" s="20">
        <v>0</v>
      </c>
      <c r="F240" s="20">
        <v>0</v>
      </c>
      <c r="G240" s="20">
        <v>0</v>
      </c>
      <c r="H240" s="20">
        <v>158.8</v>
      </c>
      <c r="I240" s="20">
        <v>361.7</v>
      </c>
      <c r="J240" s="20">
        <v>511.2</v>
      </c>
      <c r="K240" s="20">
        <v>903.2</v>
      </c>
      <c r="L240" s="20">
        <v>1065</v>
      </c>
      <c r="M240" s="20">
        <v>1394.7</v>
      </c>
      <c r="N240" s="20">
        <v>1395.9</v>
      </c>
      <c r="O240" s="20">
        <v>699.2</v>
      </c>
      <c r="P240" s="20">
        <v>588.1</v>
      </c>
      <c r="Q240" s="20">
        <v>342.2</v>
      </c>
      <c r="R240" s="20">
        <v>77.5</v>
      </c>
      <c r="S240" s="20">
        <v>58.5</v>
      </c>
      <c r="T240" s="20">
        <v>0</v>
      </c>
      <c r="U240" s="20">
        <v>0</v>
      </c>
      <c r="V240" s="20">
        <v>0</v>
      </c>
      <c r="W240" s="20">
        <v>0</v>
      </c>
      <c r="X240" s="20">
        <v>0</v>
      </c>
      <c r="Y240" s="20">
        <v>0</v>
      </c>
    </row>
    <row r="241" spans="1:25" x14ac:dyDescent="0.25">
      <c r="A241" s="27">
        <f t="shared" si="3"/>
        <v>46252</v>
      </c>
      <c r="B241" s="20">
        <v>0</v>
      </c>
      <c r="C241" s="20">
        <v>0</v>
      </c>
      <c r="D241" s="20">
        <v>0</v>
      </c>
      <c r="E241" s="20">
        <v>0</v>
      </c>
      <c r="F241" s="20">
        <v>0</v>
      </c>
      <c r="G241" s="20">
        <v>36.4</v>
      </c>
      <c r="H241" s="20">
        <v>102.5</v>
      </c>
      <c r="I241" s="20">
        <v>574.9</v>
      </c>
      <c r="J241" s="20">
        <v>810.1</v>
      </c>
      <c r="K241" s="20">
        <v>468.7</v>
      </c>
      <c r="L241" s="20">
        <v>611.3</v>
      </c>
      <c r="M241" s="20">
        <v>1247.2</v>
      </c>
      <c r="N241" s="20">
        <v>732</v>
      </c>
      <c r="O241" s="20">
        <v>1277.3</v>
      </c>
      <c r="P241" s="20">
        <v>791</v>
      </c>
      <c r="Q241" s="20">
        <v>627</v>
      </c>
      <c r="R241" s="20">
        <v>346</v>
      </c>
      <c r="S241" s="20">
        <v>86.1</v>
      </c>
      <c r="T241" s="20">
        <v>0</v>
      </c>
      <c r="U241" s="20">
        <v>0</v>
      </c>
      <c r="V241" s="20">
        <v>0</v>
      </c>
      <c r="W241" s="20">
        <v>0</v>
      </c>
      <c r="X241" s="20">
        <v>0</v>
      </c>
      <c r="Y241" s="20">
        <v>0</v>
      </c>
    </row>
    <row r="242" spans="1:25" x14ac:dyDescent="0.25">
      <c r="A242" s="27">
        <f t="shared" si="3"/>
        <v>46253</v>
      </c>
      <c r="B242" s="20">
        <v>0</v>
      </c>
      <c r="C242" s="20">
        <v>0</v>
      </c>
      <c r="D242" s="20">
        <v>0</v>
      </c>
      <c r="E242" s="20">
        <v>0</v>
      </c>
      <c r="F242" s="20">
        <v>0</v>
      </c>
      <c r="G242" s="20">
        <v>35.8</v>
      </c>
      <c r="H242" s="20">
        <v>107.5</v>
      </c>
      <c r="I242" s="20">
        <v>258</v>
      </c>
      <c r="J242" s="20">
        <v>644.3</v>
      </c>
      <c r="K242" s="20">
        <v>1394.5</v>
      </c>
      <c r="L242" s="20">
        <v>1395.2</v>
      </c>
      <c r="M242" s="20">
        <v>1309.4</v>
      </c>
      <c r="N242" s="20">
        <v>532.5</v>
      </c>
      <c r="O242" s="20">
        <v>1274.5</v>
      </c>
      <c r="P242" s="20">
        <v>372.3</v>
      </c>
      <c r="Q242" s="20">
        <v>124.8</v>
      </c>
      <c r="R242" s="20">
        <v>323</v>
      </c>
      <c r="S242" s="20">
        <v>231</v>
      </c>
      <c r="T242" s="20">
        <v>0</v>
      </c>
      <c r="U242" s="20">
        <v>0</v>
      </c>
      <c r="V242" s="20">
        <v>0</v>
      </c>
      <c r="W242" s="20">
        <v>0</v>
      </c>
      <c r="X242" s="20">
        <v>0</v>
      </c>
      <c r="Y242" s="20">
        <v>0</v>
      </c>
    </row>
    <row r="243" spans="1:25" x14ac:dyDescent="0.25">
      <c r="A243" s="27">
        <f t="shared" si="3"/>
        <v>46254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123.8</v>
      </c>
      <c r="I243" s="20">
        <v>423.5</v>
      </c>
      <c r="J243" s="20">
        <v>717.4</v>
      </c>
      <c r="K243" s="20">
        <v>1376.4</v>
      </c>
      <c r="L243" s="20">
        <v>1387.6</v>
      </c>
      <c r="M243" s="20">
        <v>930</v>
      </c>
      <c r="N243" s="20">
        <v>616.5</v>
      </c>
      <c r="O243" s="20">
        <v>1356.8</v>
      </c>
      <c r="P243" s="20">
        <v>1368.4</v>
      </c>
      <c r="Q243" s="20">
        <v>408.8</v>
      </c>
      <c r="R243" s="20">
        <v>178.4</v>
      </c>
      <c r="S243" s="20">
        <v>89.8</v>
      </c>
      <c r="T243" s="20">
        <v>0</v>
      </c>
      <c r="U243" s="20">
        <v>0</v>
      </c>
      <c r="V243" s="20">
        <v>0</v>
      </c>
      <c r="W243" s="20">
        <v>0</v>
      </c>
      <c r="X243" s="20">
        <v>0</v>
      </c>
      <c r="Y243" s="20">
        <v>0</v>
      </c>
    </row>
    <row r="244" spans="1:25" x14ac:dyDescent="0.25">
      <c r="A244" s="27">
        <f t="shared" si="3"/>
        <v>46255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211.2</v>
      </c>
      <c r="I244" s="20">
        <v>716.3</v>
      </c>
      <c r="J244" s="20">
        <v>1110.2</v>
      </c>
      <c r="K244" s="20">
        <v>1387.2</v>
      </c>
      <c r="L244" s="20">
        <v>1343.6</v>
      </c>
      <c r="M244" s="20">
        <v>1327</v>
      </c>
      <c r="N244" s="20">
        <v>678.2</v>
      </c>
      <c r="O244" s="20">
        <v>1328</v>
      </c>
      <c r="P244" s="20">
        <v>502.1</v>
      </c>
      <c r="Q244" s="20">
        <v>102.7</v>
      </c>
      <c r="R244" s="20">
        <v>236</v>
      </c>
      <c r="S244" s="20">
        <v>82.3</v>
      </c>
      <c r="T244" s="20">
        <v>0</v>
      </c>
      <c r="U244" s="20">
        <v>0</v>
      </c>
      <c r="V244" s="20">
        <v>0</v>
      </c>
      <c r="W244" s="20">
        <v>0</v>
      </c>
      <c r="X244" s="20">
        <v>0</v>
      </c>
      <c r="Y244" s="20">
        <v>0</v>
      </c>
    </row>
    <row r="245" spans="1:25" x14ac:dyDescent="0.25">
      <c r="A245" s="27">
        <f t="shared" si="3"/>
        <v>46256</v>
      </c>
      <c r="B245" s="20">
        <v>0</v>
      </c>
      <c r="C245" s="20">
        <v>0</v>
      </c>
      <c r="D245" s="20">
        <v>0</v>
      </c>
      <c r="E245" s="20">
        <v>0</v>
      </c>
      <c r="F245" s="20">
        <v>0</v>
      </c>
      <c r="G245" s="20">
        <v>35.1</v>
      </c>
      <c r="H245" s="20">
        <v>196.7</v>
      </c>
      <c r="I245" s="20">
        <v>657.8</v>
      </c>
      <c r="J245" s="20">
        <v>1097.2</v>
      </c>
      <c r="K245" s="20">
        <v>1372.4</v>
      </c>
      <c r="L245" s="20">
        <v>706.9</v>
      </c>
      <c r="M245" s="20">
        <v>1340.9</v>
      </c>
      <c r="N245" s="20">
        <v>386.8</v>
      </c>
      <c r="O245" s="20">
        <v>336.9</v>
      </c>
      <c r="P245" s="20">
        <v>478.5</v>
      </c>
      <c r="Q245" s="20">
        <v>254.4</v>
      </c>
      <c r="R245" s="20">
        <v>100.4</v>
      </c>
      <c r="S245" s="20">
        <v>67</v>
      </c>
      <c r="T245" s="20">
        <v>0</v>
      </c>
      <c r="U245" s="20">
        <v>0</v>
      </c>
      <c r="V245" s="20">
        <v>0</v>
      </c>
      <c r="W245" s="20">
        <v>0</v>
      </c>
      <c r="X245" s="20">
        <v>0</v>
      </c>
      <c r="Y245" s="20">
        <v>0</v>
      </c>
    </row>
    <row r="246" spans="1:25" x14ac:dyDescent="0.25">
      <c r="A246" s="27">
        <f t="shared" si="3"/>
        <v>46257</v>
      </c>
      <c r="B246" s="20">
        <v>0</v>
      </c>
      <c r="C246" s="20">
        <v>0</v>
      </c>
      <c r="D246" s="20">
        <v>0</v>
      </c>
      <c r="E246" s="20">
        <v>0</v>
      </c>
      <c r="F246" s="20">
        <v>0</v>
      </c>
      <c r="G246" s="20">
        <v>35.4</v>
      </c>
      <c r="H246" s="20">
        <v>131.6</v>
      </c>
      <c r="I246" s="20">
        <v>90.3</v>
      </c>
      <c r="J246" s="20">
        <v>110.7</v>
      </c>
      <c r="K246" s="20">
        <v>222.1</v>
      </c>
      <c r="L246" s="20">
        <v>454</v>
      </c>
      <c r="M246" s="20">
        <v>1074.7</v>
      </c>
      <c r="N246" s="20">
        <v>1367.2</v>
      </c>
      <c r="O246" s="20">
        <v>1284.8</v>
      </c>
      <c r="P246" s="20">
        <v>529.5</v>
      </c>
      <c r="Q246" s="20">
        <v>644.7</v>
      </c>
      <c r="R246" s="20">
        <v>213.4</v>
      </c>
      <c r="S246" s="20">
        <v>76.8</v>
      </c>
      <c r="T246" s="20">
        <v>0</v>
      </c>
      <c r="U246" s="20">
        <v>0</v>
      </c>
      <c r="V246" s="20">
        <v>0</v>
      </c>
      <c r="W246" s="20">
        <v>0</v>
      </c>
      <c r="X246" s="20">
        <v>0</v>
      </c>
      <c r="Y246" s="20">
        <v>0</v>
      </c>
    </row>
    <row r="247" spans="1:25" x14ac:dyDescent="0.25">
      <c r="A247" s="27">
        <f t="shared" si="3"/>
        <v>46258</v>
      </c>
      <c r="B247" s="20">
        <v>0</v>
      </c>
      <c r="C247" s="20">
        <v>0</v>
      </c>
      <c r="D247" s="20">
        <v>0</v>
      </c>
      <c r="E247" s="20">
        <v>0</v>
      </c>
      <c r="F247" s="20">
        <v>0</v>
      </c>
      <c r="G247" s="20">
        <v>0</v>
      </c>
      <c r="H247" s="20">
        <v>203.6</v>
      </c>
      <c r="I247" s="20">
        <v>463.7</v>
      </c>
      <c r="J247" s="20">
        <v>887.9</v>
      </c>
      <c r="K247" s="20">
        <v>1361.3</v>
      </c>
      <c r="L247" s="20">
        <v>1394.8</v>
      </c>
      <c r="M247" s="20">
        <v>1092.7</v>
      </c>
      <c r="N247" s="20">
        <v>1334.1</v>
      </c>
      <c r="O247" s="20">
        <v>1392.7</v>
      </c>
      <c r="P247" s="20">
        <v>1280.1</v>
      </c>
      <c r="Q247" s="20">
        <v>563.2</v>
      </c>
      <c r="R247" s="20">
        <v>378.3</v>
      </c>
      <c r="S247" s="20">
        <v>83.7</v>
      </c>
      <c r="T247" s="20">
        <v>0</v>
      </c>
      <c r="U247" s="20">
        <v>0</v>
      </c>
      <c r="V247" s="20">
        <v>0</v>
      </c>
      <c r="W247" s="20">
        <v>0</v>
      </c>
      <c r="X247" s="20">
        <v>0</v>
      </c>
      <c r="Y247" s="20">
        <v>0</v>
      </c>
    </row>
    <row r="248" spans="1:25" x14ac:dyDescent="0.25">
      <c r="A248" s="27">
        <f t="shared" si="3"/>
        <v>46259</v>
      </c>
      <c r="B248" s="20">
        <v>0</v>
      </c>
      <c r="C248" s="20">
        <v>0</v>
      </c>
      <c r="D248" s="20">
        <v>0</v>
      </c>
      <c r="E248" s="20">
        <v>0</v>
      </c>
      <c r="F248" s="20">
        <v>0</v>
      </c>
      <c r="G248" s="20">
        <v>0</v>
      </c>
      <c r="H248" s="20">
        <v>180.4</v>
      </c>
      <c r="I248" s="20">
        <v>650.7</v>
      </c>
      <c r="J248" s="20">
        <v>1116.4</v>
      </c>
      <c r="K248" s="20">
        <v>1395.3</v>
      </c>
      <c r="L248" s="20">
        <v>1015.1</v>
      </c>
      <c r="M248" s="20">
        <v>1394.7</v>
      </c>
      <c r="N248" s="20">
        <v>1313.3</v>
      </c>
      <c r="O248" s="20">
        <v>1395.4</v>
      </c>
      <c r="P248" s="20">
        <v>165.4</v>
      </c>
      <c r="Q248" s="20">
        <v>307.1</v>
      </c>
      <c r="R248" s="20">
        <v>288.7</v>
      </c>
      <c r="S248" s="20">
        <v>97.5</v>
      </c>
      <c r="T248" s="20">
        <v>0</v>
      </c>
      <c r="U248" s="20">
        <v>0</v>
      </c>
      <c r="V248" s="20">
        <v>0</v>
      </c>
      <c r="W248" s="20">
        <v>0</v>
      </c>
      <c r="X248" s="20">
        <v>0</v>
      </c>
      <c r="Y248" s="20">
        <v>0</v>
      </c>
    </row>
    <row r="249" spans="1:25" x14ac:dyDescent="0.25">
      <c r="A249" s="27">
        <f t="shared" si="3"/>
        <v>46260</v>
      </c>
      <c r="B249" s="20">
        <v>0</v>
      </c>
      <c r="C249" s="20">
        <v>0</v>
      </c>
      <c r="D249" s="20">
        <v>0</v>
      </c>
      <c r="E249" s="20">
        <v>0</v>
      </c>
      <c r="F249" s="20">
        <v>0</v>
      </c>
      <c r="G249" s="20">
        <v>33.5</v>
      </c>
      <c r="H249" s="20">
        <v>130.4</v>
      </c>
      <c r="I249" s="20">
        <v>452.5</v>
      </c>
      <c r="J249" s="20">
        <v>654.7</v>
      </c>
      <c r="K249" s="20">
        <v>1288.9</v>
      </c>
      <c r="L249" s="20">
        <v>985.1</v>
      </c>
      <c r="M249" s="20">
        <v>1375.3</v>
      </c>
      <c r="N249" s="20">
        <v>1361.5</v>
      </c>
      <c r="O249" s="20">
        <v>402.1</v>
      </c>
      <c r="P249" s="20">
        <v>92.2</v>
      </c>
      <c r="Q249" s="20">
        <v>58.6</v>
      </c>
      <c r="R249" s="20">
        <v>42.6</v>
      </c>
      <c r="S249" s="20">
        <v>38.3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</row>
    <row r="250" spans="1:25" x14ac:dyDescent="0.25">
      <c r="A250" s="27">
        <f t="shared" si="3"/>
        <v>46261</v>
      </c>
      <c r="B250" s="20">
        <v>0</v>
      </c>
      <c r="C250" s="20">
        <v>0</v>
      </c>
      <c r="D250" s="20">
        <v>0</v>
      </c>
      <c r="E250" s="20">
        <v>0</v>
      </c>
      <c r="F250" s="20">
        <v>0</v>
      </c>
      <c r="G250" s="20">
        <v>35.6</v>
      </c>
      <c r="H250" s="20">
        <v>60</v>
      </c>
      <c r="I250" s="20">
        <v>255.1</v>
      </c>
      <c r="J250" s="20">
        <v>495.1</v>
      </c>
      <c r="K250" s="20">
        <v>868.9</v>
      </c>
      <c r="L250" s="20">
        <v>1393.9</v>
      </c>
      <c r="M250" s="20">
        <v>1394.6</v>
      </c>
      <c r="N250" s="20">
        <v>753</v>
      </c>
      <c r="O250" s="20">
        <v>609.2</v>
      </c>
      <c r="P250" s="20">
        <v>1189.6</v>
      </c>
      <c r="Q250" s="20">
        <v>890.1</v>
      </c>
      <c r="R250" s="20">
        <v>387.7</v>
      </c>
      <c r="S250" s="20">
        <v>155.9</v>
      </c>
      <c r="T250" s="20">
        <v>0</v>
      </c>
      <c r="U250" s="20">
        <v>0</v>
      </c>
      <c r="V250" s="20">
        <v>0</v>
      </c>
      <c r="W250" s="20">
        <v>0</v>
      </c>
      <c r="X250" s="20">
        <v>0</v>
      </c>
      <c r="Y250" s="20">
        <v>0</v>
      </c>
    </row>
    <row r="251" spans="1:25" x14ac:dyDescent="0.25">
      <c r="A251" s="27">
        <f t="shared" si="3"/>
        <v>46262</v>
      </c>
      <c r="B251" s="20">
        <v>0</v>
      </c>
      <c r="C251" s="20">
        <v>0</v>
      </c>
      <c r="D251" s="20">
        <v>0</v>
      </c>
      <c r="E251" s="20">
        <v>0</v>
      </c>
      <c r="F251" s="20">
        <v>0</v>
      </c>
      <c r="G251" s="20">
        <v>0</v>
      </c>
      <c r="H251" s="20">
        <v>204.2</v>
      </c>
      <c r="I251" s="20">
        <v>770.4</v>
      </c>
      <c r="J251" s="20">
        <v>1071.7</v>
      </c>
      <c r="K251" s="20">
        <v>1363.2</v>
      </c>
      <c r="L251" s="20">
        <v>569.4</v>
      </c>
      <c r="M251" s="20">
        <v>582.1</v>
      </c>
      <c r="N251" s="20">
        <v>154.4</v>
      </c>
      <c r="O251" s="20">
        <v>280.8</v>
      </c>
      <c r="P251" s="20">
        <v>238.4</v>
      </c>
      <c r="Q251" s="20">
        <v>74.2</v>
      </c>
      <c r="R251" s="20">
        <v>75.3</v>
      </c>
      <c r="S251" s="20">
        <v>46.1</v>
      </c>
      <c r="T251" s="20">
        <v>0</v>
      </c>
      <c r="U251" s="20">
        <v>0</v>
      </c>
      <c r="V251" s="20">
        <v>0</v>
      </c>
      <c r="W251" s="20">
        <v>0</v>
      </c>
      <c r="X251" s="20">
        <v>0</v>
      </c>
      <c r="Y251" s="20">
        <v>0</v>
      </c>
    </row>
    <row r="252" spans="1:25" x14ac:dyDescent="0.25">
      <c r="A252" s="27">
        <f t="shared" si="3"/>
        <v>46263</v>
      </c>
      <c r="B252" s="20">
        <v>0</v>
      </c>
      <c r="C252" s="20">
        <v>0</v>
      </c>
      <c r="D252" s="20">
        <v>0</v>
      </c>
      <c r="E252" s="20">
        <v>0</v>
      </c>
      <c r="F252" s="20">
        <v>0</v>
      </c>
      <c r="G252" s="20">
        <v>36.5</v>
      </c>
      <c r="H252" s="20">
        <v>204.9</v>
      </c>
      <c r="I252" s="20">
        <v>741.2</v>
      </c>
      <c r="J252" s="20">
        <v>1083</v>
      </c>
      <c r="K252" s="20">
        <v>1368.6</v>
      </c>
      <c r="L252" s="20">
        <v>933.2</v>
      </c>
      <c r="M252" s="20">
        <v>1364.6</v>
      </c>
      <c r="N252" s="20">
        <v>640.1</v>
      </c>
      <c r="O252" s="20">
        <v>809.2</v>
      </c>
      <c r="P252" s="20">
        <v>42.3</v>
      </c>
      <c r="Q252" s="20">
        <v>83.2</v>
      </c>
      <c r="R252" s="20">
        <v>53.8</v>
      </c>
      <c r="S252" s="20">
        <v>37.6</v>
      </c>
      <c r="T252" s="20">
        <v>0</v>
      </c>
      <c r="U252" s="20">
        <v>0</v>
      </c>
      <c r="V252" s="20">
        <v>0</v>
      </c>
      <c r="W252" s="20">
        <v>0</v>
      </c>
      <c r="X252" s="20">
        <v>0</v>
      </c>
      <c r="Y252" s="20">
        <v>0</v>
      </c>
    </row>
    <row r="253" spans="1:25" x14ac:dyDescent="0.25">
      <c r="A253" s="27">
        <f t="shared" si="3"/>
        <v>46264</v>
      </c>
      <c r="B253" s="20">
        <v>0</v>
      </c>
      <c r="C253" s="20">
        <v>0</v>
      </c>
      <c r="D253" s="20">
        <v>0</v>
      </c>
      <c r="E253" s="20">
        <v>0</v>
      </c>
      <c r="F253" s="20">
        <v>0</v>
      </c>
      <c r="G253" s="20">
        <v>35.8</v>
      </c>
      <c r="H253" s="20">
        <v>152.7</v>
      </c>
      <c r="I253" s="20">
        <v>305.7</v>
      </c>
      <c r="J253" s="20">
        <v>1141.8</v>
      </c>
      <c r="K253" s="20">
        <v>817.3</v>
      </c>
      <c r="L253" s="20">
        <v>697.8</v>
      </c>
      <c r="M253" s="20">
        <v>968.2</v>
      </c>
      <c r="N253" s="20">
        <v>1011.7</v>
      </c>
      <c r="O253" s="20">
        <v>1168.9</v>
      </c>
      <c r="P253" s="20">
        <v>1030.8</v>
      </c>
      <c r="Q253" s="20">
        <v>254.6</v>
      </c>
      <c r="R253" s="20">
        <v>152.2</v>
      </c>
      <c r="S253" s="20">
        <v>34.5</v>
      </c>
      <c r="T253" s="20">
        <v>0</v>
      </c>
      <c r="U253" s="20">
        <v>0</v>
      </c>
      <c r="V253" s="20">
        <v>0</v>
      </c>
      <c r="W253" s="20">
        <v>0</v>
      </c>
      <c r="X253" s="20">
        <v>0</v>
      </c>
      <c r="Y253" s="20">
        <v>0</v>
      </c>
    </row>
    <row r="254" spans="1:25" x14ac:dyDescent="0.25">
      <c r="A254" s="27">
        <f t="shared" si="3"/>
        <v>46265</v>
      </c>
      <c r="B254" s="20">
        <v>0</v>
      </c>
      <c r="C254" s="20">
        <v>0</v>
      </c>
      <c r="D254" s="20">
        <v>0</v>
      </c>
      <c r="E254" s="20">
        <v>0</v>
      </c>
      <c r="F254" s="20">
        <v>0</v>
      </c>
      <c r="G254" s="20">
        <v>35.8</v>
      </c>
      <c r="H254" s="20">
        <v>155.9</v>
      </c>
      <c r="I254" s="20">
        <v>750.7</v>
      </c>
      <c r="J254" s="20">
        <v>1165.8</v>
      </c>
      <c r="K254" s="20">
        <v>1020.5</v>
      </c>
      <c r="L254" s="20">
        <v>1393.1</v>
      </c>
      <c r="M254" s="20">
        <v>1108.1</v>
      </c>
      <c r="N254" s="20">
        <v>1315.3</v>
      </c>
      <c r="O254" s="20">
        <v>124</v>
      </c>
      <c r="P254" s="20">
        <v>137.6</v>
      </c>
      <c r="Q254" s="20">
        <v>52.2</v>
      </c>
      <c r="R254" s="20">
        <v>39</v>
      </c>
      <c r="S254" s="20">
        <v>0</v>
      </c>
      <c r="T254" s="20">
        <v>0</v>
      </c>
      <c r="U254" s="20">
        <v>0</v>
      </c>
      <c r="V254" s="20">
        <v>0</v>
      </c>
      <c r="W254" s="20">
        <v>0</v>
      </c>
      <c r="X254" s="20">
        <v>0</v>
      </c>
      <c r="Y254" s="20">
        <v>0</v>
      </c>
    </row>
    <row r="255" spans="1:25" x14ac:dyDescent="0.25">
      <c r="A255" s="27">
        <f t="shared" si="3"/>
        <v>46266</v>
      </c>
      <c r="B255" s="20">
        <v>0</v>
      </c>
      <c r="C255" s="20">
        <v>0</v>
      </c>
      <c r="D255" s="20">
        <v>0</v>
      </c>
      <c r="E255" s="20">
        <v>0</v>
      </c>
      <c r="F255" s="20">
        <v>0</v>
      </c>
      <c r="G255" s="20">
        <v>36.6</v>
      </c>
      <c r="H255" s="20">
        <v>175.3</v>
      </c>
      <c r="I255" s="20">
        <v>408</v>
      </c>
      <c r="J255" s="20">
        <v>725.8</v>
      </c>
      <c r="K255" s="20">
        <v>1136.5</v>
      </c>
      <c r="L255" s="20">
        <v>903.9</v>
      </c>
      <c r="M255" s="20">
        <v>1339.9</v>
      </c>
      <c r="N255" s="20">
        <v>1388.5</v>
      </c>
      <c r="O255" s="20">
        <v>1061.4</v>
      </c>
      <c r="P255" s="20">
        <v>1395.9</v>
      </c>
      <c r="Q255" s="20">
        <v>249.7</v>
      </c>
      <c r="R255" s="20">
        <v>231.5</v>
      </c>
      <c r="S255" s="20">
        <v>78.4</v>
      </c>
      <c r="T255" s="20">
        <v>34.5</v>
      </c>
      <c r="U255" s="20">
        <v>0</v>
      </c>
      <c r="V255" s="20">
        <v>0</v>
      </c>
      <c r="W255" s="20">
        <v>0</v>
      </c>
      <c r="X255" s="20">
        <v>0</v>
      </c>
      <c r="Y255" s="20">
        <v>0</v>
      </c>
    </row>
    <row r="256" spans="1:25" x14ac:dyDescent="0.25">
      <c r="A256" s="27">
        <f t="shared" si="3"/>
        <v>46267</v>
      </c>
      <c r="B256" s="20">
        <v>0</v>
      </c>
      <c r="C256" s="20">
        <v>0</v>
      </c>
      <c r="D256" s="20">
        <v>0</v>
      </c>
      <c r="E256" s="20">
        <v>0</v>
      </c>
      <c r="F256" s="20">
        <v>0</v>
      </c>
      <c r="G256" s="20">
        <v>0</v>
      </c>
      <c r="H256" s="20">
        <v>127.7</v>
      </c>
      <c r="I256" s="20">
        <v>420.8</v>
      </c>
      <c r="J256" s="20">
        <v>866.8</v>
      </c>
      <c r="K256" s="20">
        <v>1389.2</v>
      </c>
      <c r="L256" s="20">
        <v>1383</v>
      </c>
      <c r="M256" s="20">
        <v>1384.3</v>
      </c>
      <c r="N256" s="20">
        <v>1369.1</v>
      </c>
      <c r="O256" s="20">
        <v>1392.4</v>
      </c>
      <c r="P256" s="20">
        <v>807.4</v>
      </c>
      <c r="Q256" s="20">
        <v>29.6</v>
      </c>
      <c r="R256" s="20">
        <v>50.8</v>
      </c>
      <c r="S256" s="20">
        <v>44.6</v>
      </c>
      <c r="T256" s="20">
        <v>0</v>
      </c>
      <c r="U256" s="20">
        <v>0</v>
      </c>
      <c r="V256" s="20">
        <v>0</v>
      </c>
      <c r="W256" s="20">
        <v>0</v>
      </c>
      <c r="X256" s="20">
        <v>0</v>
      </c>
      <c r="Y256" s="20">
        <v>0</v>
      </c>
    </row>
    <row r="257" spans="1:35" x14ac:dyDescent="0.25">
      <c r="A257" s="27">
        <f t="shared" si="3"/>
        <v>46268</v>
      </c>
      <c r="B257" s="20">
        <v>0</v>
      </c>
      <c r="C257" s="20">
        <v>0</v>
      </c>
      <c r="D257" s="20">
        <v>0</v>
      </c>
      <c r="E257" s="20">
        <v>0</v>
      </c>
      <c r="F257" s="20">
        <v>0</v>
      </c>
      <c r="G257" s="20">
        <v>0</v>
      </c>
      <c r="H257" s="20">
        <v>45</v>
      </c>
      <c r="I257" s="20">
        <v>300.7</v>
      </c>
      <c r="J257" s="20">
        <v>460</v>
      </c>
      <c r="K257" s="20">
        <v>764.7</v>
      </c>
      <c r="L257" s="20">
        <v>343.9</v>
      </c>
      <c r="M257" s="20">
        <v>795.2</v>
      </c>
      <c r="N257" s="20">
        <v>637.4</v>
      </c>
      <c r="O257" s="20">
        <v>82.3</v>
      </c>
      <c r="P257" s="20">
        <v>689.6</v>
      </c>
      <c r="Q257" s="20">
        <v>177.2</v>
      </c>
      <c r="R257" s="20">
        <v>22.2</v>
      </c>
      <c r="S257" s="20">
        <v>2.2</v>
      </c>
      <c r="T257" s="20">
        <v>0</v>
      </c>
      <c r="U257" s="20">
        <v>0</v>
      </c>
      <c r="V257" s="20">
        <v>0</v>
      </c>
      <c r="W257" s="20">
        <v>0</v>
      </c>
      <c r="X257" s="20">
        <v>0</v>
      </c>
      <c r="Y257" s="20">
        <v>0</v>
      </c>
    </row>
    <row r="258" spans="1:35" x14ac:dyDescent="0.25">
      <c r="A258" s="27">
        <f t="shared" si="3"/>
        <v>46269</v>
      </c>
      <c r="B258" s="20">
        <v>0</v>
      </c>
      <c r="C258" s="20">
        <v>0</v>
      </c>
      <c r="D258" s="20">
        <v>0</v>
      </c>
      <c r="E258" s="20">
        <v>0</v>
      </c>
      <c r="F258" s="20">
        <v>0</v>
      </c>
      <c r="G258" s="20">
        <v>0</v>
      </c>
      <c r="H258" s="20">
        <v>114.1</v>
      </c>
      <c r="I258" s="20">
        <v>408.8</v>
      </c>
      <c r="J258" s="20">
        <v>780.8</v>
      </c>
      <c r="K258" s="20">
        <v>519.2</v>
      </c>
      <c r="L258" s="20">
        <v>1373.7</v>
      </c>
      <c r="M258" s="20">
        <v>1267.6</v>
      </c>
      <c r="N258" s="20">
        <v>815.5</v>
      </c>
      <c r="O258" s="20">
        <v>1371.3</v>
      </c>
      <c r="P258" s="20">
        <v>1307</v>
      </c>
      <c r="Q258" s="20">
        <v>1117</v>
      </c>
      <c r="R258" s="20">
        <v>292.4</v>
      </c>
      <c r="S258" s="20">
        <v>83.6</v>
      </c>
      <c r="T258" s="20">
        <v>0</v>
      </c>
      <c r="U258" s="20">
        <v>0</v>
      </c>
      <c r="V258" s="20">
        <v>0</v>
      </c>
      <c r="W258" s="20">
        <v>0</v>
      </c>
      <c r="X258" s="20">
        <v>0</v>
      </c>
      <c r="Y258" s="20">
        <v>0</v>
      </c>
    </row>
    <row r="259" spans="1:35" x14ac:dyDescent="0.25">
      <c r="A259" s="27">
        <f t="shared" si="3"/>
        <v>46270</v>
      </c>
      <c r="B259" s="20">
        <v>0</v>
      </c>
      <c r="C259" s="20">
        <v>0</v>
      </c>
      <c r="D259" s="20">
        <v>0</v>
      </c>
      <c r="E259" s="20">
        <v>0</v>
      </c>
      <c r="F259" s="20">
        <v>0</v>
      </c>
      <c r="G259" s="20">
        <v>0</v>
      </c>
      <c r="H259" s="20">
        <v>161.6</v>
      </c>
      <c r="I259" s="20">
        <v>633.2</v>
      </c>
      <c r="J259" s="20">
        <v>1226.5</v>
      </c>
      <c r="K259" s="20">
        <v>1347.6</v>
      </c>
      <c r="L259" s="20">
        <v>1031.3</v>
      </c>
      <c r="M259" s="20">
        <v>1363.6</v>
      </c>
      <c r="N259" s="20">
        <v>1359.3</v>
      </c>
      <c r="O259" s="20">
        <v>43.1</v>
      </c>
      <c r="P259" s="20">
        <v>184.1</v>
      </c>
      <c r="Q259" s="20">
        <v>305.8</v>
      </c>
      <c r="R259" s="20">
        <v>182.8</v>
      </c>
      <c r="S259" s="20">
        <v>96.9</v>
      </c>
      <c r="T259" s="20">
        <v>0</v>
      </c>
      <c r="U259" s="20">
        <v>0</v>
      </c>
      <c r="V259" s="20">
        <v>0</v>
      </c>
      <c r="W259" s="20">
        <v>0</v>
      </c>
      <c r="X259" s="20">
        <v>0</v>
      </c>
      <c r="Y259" s="20">
        <v>0</v>
      </c>
    </row>
    <row r="260" spans="1:35" x14ac:dyDescent="0.25">
      <c r="A260" s="27">
        <f t="shared" si="3"/>
        <v>46271</v>
      </c>
      <c r="B260" s="20">
        <v>0</v>
      </c>
      <c r="C260" s="20">
        <v>0</v>
      </c>
      <c r="D260" s="20">
        <v>0</v>
      </c>
      <c r="E260" s="20">
        <v>0</v>
      </c>
      <c r="F260" s="20">
        <v>0</v>
      </c>
      <c r="G260" s="20">
        <v>0</v>
      </c>
      <c r="H260" s="20">
        <v>50.5</v>
      </c>
      <c r="I260" s="20">
        <v>124.6</v>
      </c>
      <c r="J260" s="20">
        <v>443.8</v>
      </c>
      <c r="K260" s="20">
        <v>771.9</v>
      </c>
      <c r="L260" s="20">
        <v>321.7</v>
      </c>
      <c r="M260" s="20">
        <v>445.8</v>
      </c>
      <c r="N260" s="20">
        <v>517.1</v>
      </c>
      <c r="O260" s="20">
        <v>4.6</v>
      </c>
      <c r="P260" s="20">
        <v>91.6</v>
      </c>
      <c r="Q260" s="20">
        <v>56.5</v>
      </c>
      <c r="R260" s="20">
        <v>0</v>
      </c>
      <c r="S260" s="20">
        <v>0</v>
      </c>
      <c r="T260" s="20">
        <v>0</v>
      </c>
      <c r="U260" s="20">
        <v>0</v>
      </c>
      <c r="V260" s="20">
        <v>0</v>
      </c>
      <c r="W260" s="20">
        <v>0</v>
      </c>
      <c r="X260" s="20">
        <v>0</v>
      </c>
      <c r="Y260" s="20">
        <v>0</v>
      </c>
    </row>
    <row r="261" spans="1:35" x14ac:dyDescent="0.25">
      <c r="A261" s="27">
        <f t="shared" si="3"/>
        <v>46272</v>
      </c>
      <c r="B261" s="20">
        <v>0</v>
      </c>
      <c r="C261" s="20">
        <v>0</v>
      </c>
      <c r="D261" s="20">
        <v>0</v>
      </c>
      <c r="E261" s="20">
        <v>0</v>
      </c>
      <c r="F261" s="20">
        <v>0</v>
      </c>
      <c r="G261" s="20">
        <v>0</v>
      </c>
      <c r="H261" s="20">
        <v>0</v>
      </c>
      <c r="I261" s="20">
        <v>56.2</v>
      </c>
      <c r="J261" s="20">
        <v>104.3</v>
      </c>
      <c r="K261" s="20">
        <v>238.5</v>
      </c>
      <c r="L261" s="20">
        <v>297.7</v>
      </c>
      <c r="M261" s="20">
        <v>263</v>
      </c>
      <c r="N261" s="20">
        <v>331.9</v>
      </c>
      <c r="O261" s="20">
        <v>296</v>
      </c>
      <c r="P261" s="20">
        <v>141.5</v>
      </c>
      <c r="Q261" s="20">
        <v>99.8</v>
      </c>
      <c r="R261" s="20">
        <v>64.3</v>
      </c>
      <c r="S261" s="20">
        <v>0</v>
      </c>
      <c r="T261" s="20">
        <v>0</v>
      </c>
      <c r="U261" s="20">
        <v>0</v>
      </c>
      <c r="V261" s="20">
        <v>0</v>
      </c>
      <c r="W261" s="20">
        <v>0</v>
      </c>
      <c r="X261" s="20">
        <v>0</v>
      </c>
      <c r="Y261" s="20">
        <v>0</v>
      </c>
    </row>
    <row r="262" spans="1:35" x14ac:dyDescent="0.25">
      <c r="A262" s="27">
        <f t="shared" si="3"/>
        <v>46273</v>
      </c>
      <c r="B262" s="20">
        <v>0</v>
      </c>
      <c r="C262" s="20">
        <v>0</v>
      </c>
      <c r="D262" s="20">
        <v>0</v>
      </c>
      <c r="E262" s="20">
        <v>0</v>
      </c>
      <c r="F262" s="20">
        <v>0</v>
      </c>
      <c r="G262" s="20">
        <v>0</v>
      </c>
      <c r="H262" s="20">
        <v>169.8</v>
      </c>
      <c r="I262" s="20">
        <v>341</v>
      </c>
      <c r="J262" s="20">
        <v>840.2</v>
      </c>
      <c r="K262" s="20">
        <v>1348.1</v>
      </c>
      <c r="L262" s="20">
        <v>1393.5</v>
      </c>
      <c r="M262" s="20">
        <v>1320.3</v>
      </c>
      <c r="N262" s="20">
        <v>812.5</v>
      </c>
      <c r="O262" s="20">
        <v>283</v>
      </c>
      <c r="P262" s="20">
        <v>49.7</v>
      </c>
      <c r="Q262" s="20">
        <v>176.4</v>
      </c>
      <c r="R262" s="20">
        <v>251.6</v>
      </c>
      <c r="S262" s="20">
        <v>190.5</v>
      </c>
      <c r="T262" s="20">
        <v>0</v>
      </c>
      <c r="U262" s="20">
        <v>0</v>
      </c>
      <c r="V262" s="20">
        <v>0</v>
      </c>
      <c r="W262" s="20">
        <v>0</v>
      </c>
      <c r="X262" s="20">
        <v>0</v>
      </c>
      <c r="Y262" s="20">
        <v>0</v>
      </c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</row>
    <row r="263" spans="1:35" x14ac:dyDescent="0.25">
      <c r="A263" s="27">
        <f t="shared" si="3"/>
        <v>46274</v>
      </c>
      <c r="B263" s="20">
        <v>0</v>
      </c>
      <c r="C263" s="20">
        <v>0</v>
      </c>
      <c r="D263" s="20">
        <v>0</v>
      </c>
      <c r="E263" s="20">
        <v>0</v>
      </c>
      <c r="F263" s="20">
        <v>0</v>
      </c>
      <c r="G263" s="20">
        <v>35.5</v>
      </c>
      <c r="H263" s="20">
        <v>56</v>
      </c>
      <c r="I263" s="20">
        <v>308.5</v>
      </c>
      <c r="J263" s="20">
        <v>883.1</v>
      </c>
      <c r="K263" s="20">
        <v>1364</v>
      </c>
      <c r="L263" s="20">
        <v>981.4</v>
      </c>
      <c r="M263" s="20">
        <v>706.4</v>
      </c>
      <c r="N263" s="20">
        <v>1389.6</v>
      </c>
      <c r="O263" s="20">
        <v>1022.3</v>
      </c>
      <c r="P263" s="20">
        <v>610.4</v>
      </c>
      <c r="Q263" s="20">
        <v>181</v>
      </c>
      <c r="R263" s="20">
        <v>61.4</v>
      </c>
      <c r="S263" s="20">
        <v>39.1</v>
      </c>
      <c r="T263" s="20">
        <v>32.3</v>
      </c>
      <c r="U263" s="20">
        <v>0</v>
      </c>
      <c r="V263" s="20">
        <v>0</v>
      </c>
      <c r="W263" s="20">
        <v>0</v>
      </c>
      <c r="X263" s="20">
        <v>0</v>
      </c>
      <c r="Y263" s="20">
        <v>0</v>
      </c>
    </row>
    <row r="264" spans="1:35" x14ac:dyDescent="0.25">
      <c r="A264" s="27">
        <f t="shared" si="3"/>
        <v>46275</v>
      </c>
      <c r="B264" s="20">
        <v>0</v>
      </c>
      <c r="C264" s="20">
        <v>0</v>
      </c>
      <c r="D264" s="20">
        <v>0</v>
      </c>
      <c r="E264" s="20">
        <v>0</v>
      </c>
      <c r="F264" s="20">
        <v>0</v>
      </c>
      <c r="G264" s="20">
        <v>0</v>
      </c>
      <c r="H264" s="20">
        <v>318.8</v>
      </c>
      <c r="I264" s="20">
        <v>702.8</v>
      </c>
      <c r="J264" s="20">
        <v>875.9</v>
      </c>
      <c r="K264" s="20">
        <v>1289.9</v>
      </c>
      <c r="L264" s="20">
        <v>1357.6</v>
      </c>
      <c r="M264" s="20">
        <v>1354.7</v>
      </c>
      <c r="N264" s="20">
        <v>380.6</v>
      </c>
      <c r="O264" s="20">
        <v>1389.1</v>
      </c>
      <c r="P264" s="20">
        <v>293.7</v>
      </c>
      <c r="Q264" s="20">
        <v>774.2</v>
      </c>
      <c r="R264" s="20">
        <v>151.6</v>
      </c>
      <c r="S264" s="20">
        <v>82.7</v>
      </c>
      <c r="T264" s="20">
        <v>0</v>
      </c>
      <c r="U264" s="20">
        <v>0</v>
      </c>
      <c r="V264" s="20">
        <v>0</v>
      </c>
      <c r="W264" s="20">
        <v>0</v>
      </c>
      <c r="X264" s="20">
        <v>0</v>
      </c>
      <c r="Y264" s="20">
        <v>0</v>
      </c>
    </row>
    <row r="265" spans="1:35" x14ac:dyDescent="0.25">
      <c r="A265" s="27">
        <f t="shared" si="3"/>
        <v>46276</v>
      </c>
      <c r="B265" s="20">
        <v>0</v>
      </c>
      <c r="C265" s="20">
        <v>0</v>
      </c>
      <c r="D265" s="20">
        <v>0</v>
      </c>
      <c r="E265" s="20">
        <v>0</v>
      </c>
      <c r="F265" s="20">
        <v>0</v>
      </c>
      <c r="G265" s="20">
        <v>37.9</v>
      </c>
      <c r="H265" s="20">
        <v>202.6</v>
      </c>
      <c r="I265" s="20">
        <v>843.8</v>
      </c>
      <c r="J265" s="20">
        <v>587.9</v>
      </c>
      <c r="K265" s="20">
        <v>369.9</v>
      </c>
      <c r="L265" s="20">
        <v>1344.5</v>
      </c>
      <c r="M265" s="20">
        <v>236.6</v>
      </c>
      <c r="N265" s="20">
        <v>903.4</v>
      </c>
      <c r="O265" s="20">
        <v>863.9</v>
      </c>
      <c r="P265" s="20">
        <v>664.3</v>
      </c>
      <c r="Q265" s="20">
        <v>96.1</v>
      </c>
      <c r="R265" s="20">
        <v>36.7</v>
      </c>
      <c r="S265" s="20">
        <v>0</v>
      </c>
      <c r="T265" s="20">
        <v>0</v>
      </c>
      <c r="U265" s="20">
        <v>0</v>
      </c>
      <c r="V265" s="20">
        <v>0</v>
      </c>
      <c r="W265" s="20">
        <v>0</v>
      </c>
      <c r="X265" s="20">
        <v>0</v>
      </c>
      <c r="Y265" s="20">
        <v>0</v>
      </c>
    </row>
    <row r="266" spans="1:35" x14ac:dyDescent="0.25">
      <c r="A266" s="27">
        <f t="shared" si="3"/>
        <v>46277</v>
      </c>
      <c r="B266" s="20">
        <v>0</v>
      </c>
      <c r="C266" s="20">
        <v>0</v>
      </c>
      <c r="D266" s="20">
        <v>0</v>
      </c>
      <c r="E266" s="20">
        <v>0</v>
      </c>
      <c r="F266" s="20">
        <v>0</v>
      </c>
      <c r="G266" s="20">
        <v>43.3</v>
      </c>
      <c r="H266" s="20">
        <v>349.6</v>
      </c>
      <c r="I266" s="20">
        <v>927.5</v>
      </c>
      <c r="J266" s="20">
        <v>972.3</v>
      </c>
      <c r="K266" s="20">
        <v>1308.4</v>
      </c>
      <c r="L266" s="20">
        <v>644.6</v>
      </c>
      <c r="M266" s="20">
        <v>914.4</v>
      </c>
      <c r="N266" s="20">
        <v>603.2</v>
      </c>
      <c r="O266" s="20">
        <v>1367.3</v>
      </c>
      <c r="P266" s="20">
        <v>256.4</v>
      </c>
      <c r="Q266" s="20">
        <v>186</v>
      </c>
      <c r="R266" s="20">
        <v>137.7</v>
      </c>
      <c r="S266" s="20">
        <v>39.8</v>
      </c>
      <c r="T266" s="20">
        <v>0</v>
      </c>
      <c r="U266" s="20">
        <v>0</v>
      </c>
      <c r="V266" s="20">
        <v>0</v>
      </c>
      <c r="W266" s="20">
        <v>0</v>
      </c>
      <c r="X266" s="20">
        <v>0</v>
      </c>
      <c r="Y266" s="20">
        <v>0</v>
      </c>
    </row>
    <row r="267" spans="1:35" x14ac:dyDescent="0.25">
      <c r="A267" s="27">
        <f t="shared" si="3"/>
        <v>46278</v>
      </c>
      <c r="B267" s="20">
        <v>0</v>
      </c>
      <c r="C267" s="20">
        <v>0</v>
      </c>
      <c r="D267" s="20">
        <v>0</v>
      </c>
      <c r="E267" s="20">
        <v>0</v>
      </c>
      <c r="F267" s="20">
        <v>0</v>
      </c>
      <c r="G267" s="20">
        <v>36.4</v>
      </c>
      <c r="H267" s="20">
        <v>164.5</v>
      </c>
      <c r="I267" s="20">
        <v>678.6</v>
      </c>
      <c r="J267" s="20">
        <v>1235.3</v>
      </c>
      <c r="K267" s="20">
        <v>1358.5</v>
      </c>
      <c r="L267" s="20">
        <v>842.3</v>
      </c>
      <c r="M267" s="20">
        <v>1395.7</v>
      </c>
      <c r="N267" s="20">
        <v>295.7</v>
      </c>
      <c r="O267" s="20">
        <v>309.5</v>
      </c>
      <c r="P267" s="20">
        <v>140.3</v>
      </c>
      <c r="Q267" s="20">
        <v>123.1</v>
      </c>
      <c r="R267" s="20">
        <v>122.8</v>
      </c>
      <c r="S267" s="20">
        <v>45.5</v>
      </c>
      <c r="T267" s="20">
        <v>0</v>
      </c>
      <c r="U267" s="20">
        <v>0</v>
      </c>
      <c r="V267" s="20">
        <v>0</v>
      </c>
      <c r="W267" s="20">
        <v>0</v>
      </c>
      <c r="X267" s="20">
        <v>0</v>
      </c>
      <c r="Y267" s="20">
        <v>0</v>
      </c>
    </row>
    <row r="268" spans="1:35" x14ac:dyDescent="0.25">
      <c r="A268" s="27">
        <f t="shared" si="3"/>
        <v>46279</v>
      </c>
      <c r="B268" s="20">
        <v>0</v>
      </c>
      <c r="C268" s="20">
        <v>0</v>
      </c>
      <c r="D268" s="20">
        <v>0</v>
      </c>
      <c r="E268" s="20">
        <v>0</v>
      </c>
      <c r="F268" s="20">
        <v>0</v>
      </c>
      <c r="G268" s="20">
        <v>0</v>
      </c>
      <c r="H268" s="20">
        <v>208.6</v>
      </c>
      <c r="I268" s="20">
        <v>542.4</v>
      </c>
      <c r="J268" s="20">
        <v>655</v>
      </c>
      <c r="K268" s="20">
        <v>1056.7</v>
      </c>
      <c r="L268" s="20">
        <v>1393.9</v>
      </c>
      <c r="M268" s="20">
        <v>1148.5</v>
      </c>
      <c r="N268" s="20">
        <v>216.8</v>
      </c>
      <c r="O268" s="20">
        <v>381.9</v>
      </c>
      <c r="P268" s="20">
        <v>376.1</v>
      </c>
      <c r="Q268" s="20">
        <v>629.1</v>
      </c>
      <c r="R268" s="20">
        <v>194.9</v>
      </c>
      <c r="S268" s="20">
        <v>58.1</v>
      </c>
      <c r="T268" s="20">
        <v>0</v>
      </c>
      <c r="U268" s="20">
        <v>0</v>
      </c>
      <c r="V268" s="20">
        <v>0</v>
      </c>
      <c r="W268" s="20">
        <v>0</v>
      </c>
      <c r="X268" s="20">
        <v>0</v>
      </c>
      <c r="Y268" s="20">
        <v>0</v>
      </c>
    </row>
    <row r="269" spans="1:35" x14ac:dyDescent="0.25">
      <c r="A269" s="27">
        <f t="shared" si="3"/>
        <v>46280</v>
      </c>
      <c r="B269" s="20">
        <v>0</v>
      </c>
      <c r="C269" s="20">
        <v>0</v>
      </c>
      <c r="D269" s="20">
        <v>0</v>
      </c>
      <c r="E269" s="20">
        <v>0</v>
      </c>
      <c r="F269" s="20">
        <v>0</v>
      </c>
      <c r="G269" s="20">
        <v>35.6</v>
      </c>
      <c r="H269" s="20">
        <v>166.7</v>
      </c>
      <c r="I269" s="20">
        <v>379.8</v>
      </c>
      <c r="J269" s="20">
        <v>467</v>
      </c>
      <c r="K269" s="20">
        <v>747.5</v>
      </c>
      <c r="L269" s="20">
        <v>930.1</v>
      </c>
      <c r="M269" s="20">
        <v>709.4</v>
      </c>
      <c r="N269" s="20">
        <v>1156.5</v>
      </c>
      <c r="O269" s="20">
        <v>1089.6</v>
      </c>
      <c r="P269" s="20">
        <v>606.2</v>
      </c>
      <c r="Q269" s="20">
        <v>523.1</v>
      </c>
      <c r="R269" s="20">
        <v>135.1</v>
      </c>
      <c r="S269" s="20">
        <v>44.7</v>
      </c>
      <c r="T269" s="20">
        <v>0</v>
      </c>
      <c r="U269" s="20">
        <v>0</v>
      </c>
      <c r="V269" s="20">
        <v>0</v>
      </c>
      <c r="W269" s="20">
        <v>0</v>
      </c>
      <c r="X269" s="20">
        <v>0</v>
      </c>
      <c r="Y269" s="20">
        <v>0</v>
      </c>
    </row>
    <row r="270" spans="1:35" x14ac:dyDescent="0.25">
      <c r="A270" s="27">
        <f t="shared" ref="A270:A333" si="4">+A269+1</f>
        <v>46281</v>
      </c>
      <c r="B270" s="20">
        <v>0</v>
      </c>
      <c r="C270" s="20">
        <v>0</v>
      </c>
      <c r="D270" s="20">
        <v>0</v>
      </c>
      <c r="E270" s="20">
        <v>0</v>
      </c>
      <c r="F270" s="20">
        <v>0</v>
      </c>
      <c r="G270" s="20">
        <v>38.3</v>
      </c>
      <c r="H270" s="20">
        <v>241.1</v>
      </c>
      <c r="I270" s="20">
        <v>541.9</v>
      </c>
      <c r="J270" s="20">
        <v>683.4</v>
      </c>
      <c r="K270" s="20">
        <v>765.8</v>
      </c>
      <c r="L270" s="20">
        <v>1387.8</v>
      </c>
      <c r="M270" s="20">
        <v>1395.9</v>
      </c>
      <c r="N270" s="20">
        <v>941.8</v>
      </c>
      <c r="O270" s="20">
        <v>680.2</v>
      </c>
      <c r="P270" s="20">
        <v>53.7</v>
      </c>
      <c r="Q270" s="20">
        <v>70</v>
      </c>
      <c r="R270" s="20">
        <v>49.8</v>
      </c>
      <c r="S270" s="20">
        <v>37.5</v>
      </c>
      <c r="T270" s="20">
        <v>0</v>
      </c>
      <c r="U270" s="20">
        <v>0</v>
      </c>
      <c r="V270" s="20">
        <v>0</v>
      </c>
      <c r="W270" s="20">
        <v>0</v>
      </c>
      <c r="X270" s="20">
        <v>0</v>
      </c>
      <c r="Y270" s="20">
        <v>0</v>
      </c>
    </row>
    <row r="271" spans="1:35" x14ac:dyDescent="0.25">
      <c r="A271" s="27">
        <f t="shared" si="4"/>
        <v>46282</v>
      </c>
      <c r="B271" s="20">
        <v>0</v>
      </c>
      <c r="C271" s="20">
        <v>0</v>
      </c>
      <c r="D271" s="20">
        <v>0</v>
      </c>
      <c r="E271" s="20">
        <v>0</v>
      </c>
      <c r="F271" s="20">
        <v>0</v>
      </c>
      <c r="G271" s="20">
        <v>0</v>
      </c>
      <c r="H271" s="20">
        <v>358.9</v>
      </c>
      <c r="I271" s="20">
        <v>722</v>
      </c>
      <c r="J271" s="20">
        <v>1334.3</v>
      </c>
      <c r="K271" s="20">
        <v>1395.4</v>
      </c>
      <c r="L271" s="20">
        <v>0</v>
      </c>
      <c r="M271" s="20">
        <v>1384.9</v>
      </c>
      <c r="N271" s="20">
        <v>1317.7</v>
      </c>
      <c r="O271" s="20">
        <v>1381.4</v>
      </c>
      <c r="P271" s="20">
        <v>1392.5</v>
      </c>
      <c r="Q271" s="20">
        <v>636.6</v>
      </c>
      <c r="R271" s="20">
        <v>480.3</v>
      </c>
      <c r="S271" s="20">
        <v>79.7</v>
      </c>
      <c r="T271" s="20">
        <v>0</v>
      </c>
      <c r="U271" s="20">
        <v>0</v>
      </c>
      <c r="V271" s="20">
        <v>0</v>
      </c>
      <c r="W271" s="20">
        <v>0</v>
      </c>
      <c r="X271" s="20">
        <v>0</v>
      </c>
      <c r="Y271" s="20">
        <v>0</v>
      </c>
    </row>
    <row r="272" spans="1:35" x14ac:dyDescent="0.25">
      <c r="A272" s="27">
        <f t="shared" si="4"/>
        <v>46283</v>
      </c>
      <c r="B272" s="20">
        <v>0</v>
      </c>
      <c r="C272" s="20">
        <v>0</v>
      </c>
      <c r="D272" s="20">
        <v>0</v>
      </c>
      <c r="E272" s="20">
        <v>0</v>
      </c>
      <c r="F272" s="20">
        <v>0</v>
      </c>
      <c r="G272" s="20">
        <v>38.3</v>
      </c>
      <c r="H272" s="20">
        <v>317.6</v>
      </c>
      <c r="I272" s="20">
        <v>437.9</v>
      </c>
      <c r="J272" s="20">
        <v>1252.6</v>
      </c>
      <c r="K272" s="20">
        <v>1314.1</v>
      </c>
      <c r="L272" s="20">
        <v>676.1</v>
      </c>
      <c r="M272" s="20">
        <v>436.1</v>
      </c>
      <c r="N272" s="20">
        <v>1190</v>
      </c>
      <c r="O272" s="20">
        <v>1395</v>
      </c>
      <c r="P272" s="20">
        <v>1337.2</v>
      </c>
      <c r="Q272" s="20">
        <v>694.2</v>
      </c>
      <c r="R272" s="20">
        <v>186.9</v>
      </c>
      <c r="S272" s="20">
        <v>461</v>
      </c>
      <c r="T272" s="20">
        <v>32.1</v>
      </c>
      <c r="U272" s="20">
        <v>34.1</v>
      </c>
      <c r="V272" s="20">
        <v>0</v>
      </c>
      <c r="W272" s="20">
        <v>0</v>
      </c>
      <c r="X272" s="20">
        <v>0</v>
      </c>
      <c r="Y272" s="20">
        <v>0</v>
      </c>
    </row>
    <row r="273" spans="1:25" x14ac:dyDescent="0.25">
      <c r="A273" s="27">
        <f t="shared" si="4"/>
        <v>46284</v>
      </c>
      <c r="B273" s="20">
        <v>0</v>
      </c>
      <c r="C273" s="20">
        <v>0</v>
      </c>
      <c r="D273" s="20">
        <v>0</v>
      </c>
      <c r="E273" s="20">
        <v>0</v>
      </c>
      <c r="F273" s="20">
        <v>0</v>
      </c>
      <c r="G273" s="20">
        <v>0</v>
      </c>
      <c r="H273" s="20">
        <v>172.8</v>
      </c>
      <c r="I273" s="20">
        <v>884.1</v>
      </c>
      <c r="J273" s="20">
        <v>1211.9</v>
      </c>
      <c r="K273" s="20">
        <v>1395</v>
      </c>
      <c r="L273" s="20">
        <v>1365.2</v>
      </c>
      <c r="M273" s="20">
        <v>1373.2</v>
      </c>
      <c r="N273" s="20">
        <v>1276.3</v>
      </c>
      <c r="O273" s="20">
        <v>565</v>
      </c>
      <c r="P273" s="20">
        <v>166.3</v>
      </c>
      <c r="Q273" s="20">
        <v>133.4</v>
      </c>
      <c r="R273" s="20">
        <v>53.8</v>
      </c>
      <c r="S273" s="20">
        <v>42.2</v>
      </c>
      <c r="T273" s="20">
        <v>0</v>
      </c>
      <c r="U273" s="20">
        <v>0</v>
      </c>
      <c r="V273" s="20">
        <v>0</v>
      </c>
      <c r="W273" s="20">
        <v>0</v>
      </c>
      <c r="X273" s="20">
        <v>0</v>
      </c>
      <c r="Y273" s="20">
        <v>0</v>
      </c>
    </row>
    <row r="274" spans="1:25" x14ac:dyDescent="0.25">
      <c r="A274" s="27">
        <f t="shared" si="4"/>
        <v>46285</v>
      </c>
      <c r="B274" s="20">
        <v>0</v>
      </c>
      <c r="C274" s="20">
        <v>0</v>
      </c>
      <c r="D274" s="20">
        <v>0</v>
      </c>
      <c r="E274" s="20">
        <v>0</v>
      </c>
      <c r="F274" s="20">
        <v>0</v>
      </c>
      <c r="G274" s="20">
        <v>37.7</v>
      </c>
      <c r="H274" s="20">
        <v>251.3</v>
      </c>
      <c r="I274" s="20">
        <v>571.8</v>
      </c>
      <c r="J274" s="20">
        <v>684.4</v>
      </c>
      <c r="K274" s="20">
        <v>1370.1</v>
      </c>
      <c r="L274" s="20">
        <v>0</v>
      </c>
      <c r="M274" s="20">
        <v>946.6</v>
      </c>
      <c r="N274" s="20">
        <v>1305.8</v>
      </c>
      <c r="O274" s="20">
        <v>648.3</v>
      </c>
      <c r="P274" s="20">
        <v>783.9</v>
      </c>
      <c r="Q274" s="20">
        <v>469.8</v>
      </c>
      <c r="R274" s="20">
        <v>289.9</v>
      </c>
      <c r="S274" s="20">
        <v>43.6</v>
      </c>
      <c r="T274" s="20">
        <v>0</v>
      </c>
      <c r="U274" s="20">
        <v>0</v>
      </c>
      <c r="V274" s="20">
        <v>0</v>
      </c>
      <c r="W274" s="20">
        <v>0</v>
      </c>
      <c r="X274" s="20">
        <v>0</v>
      </c>
      <c r="Y274" s="20">
        <v>0</v>
      </c>
    </row>
    <row r="275" spans="1:25" x14ac:dyDescent="0.25">
      <c r="A275" s="27">
        <f t="shared" si="4"/>
        <v>46286</v>
      </c>
      <c r="B275" s="20">
        <v>0</v>
      </c>
      <c r="C275" s="20">
        <v>0</v>
      </c>
      <c r="D275" s="20">
        <v>0</v>
      </c>
      <c r="E275" s="20">
        <v>0</v>
      </c>
      <c r="F275" s="20">
        <v>0</v>
      </c>
      <c r="G275" s="20">
        <v>0</v>
      </c>
      <c r="H275" s="20">
        <v>152.9</v>
      </c>
      <c r="I275" s="20">
        <v>1120.4</v>
      </c>
      <c r="J275" s="20">
        <v>740.7</v>
      </c>
      <c r="K275" s="20">
        <v>1011.1</v>
      </c>
      <c r="L275" s="20">
        <v>1390.8</v>
      </c>
      <c r="M275" s="20">
        <v>0</v>
      </c>
      <c r="N275" s="20">
        <v>1226.3</v>
      </c>
      <c r="O275" s="20">
        <v>914.9</v>
      </c>
      <c r="P275" s="20">
        <v>628.8</v>
      </c>
      <c r="Q275" s="20">
        <v>611.5</v>
      </c>
      <c r="R275" s="20">
        <v>164.2</v>
      </c>
      <c r="S275" s="20">
        <v>48.4</v>
      </c>
      <c r="T275" s="20">
        <v>0</v>
      </c>
      <c r="U275" s="20">
        <v>0</v>
      </c>
      <c r="V275" s="20">
        <v>0</v>
      </c>
      <c r="W275" s="20">
        <v>0</v>
      </c>
      <c r="X275" s="20">
        <v>0</v>
      </c>
      <c r="Y275" s="20">
        <v>0</v>
      </c>
    </row>
    <row r="276" spans="1:25" x14ac:dyDescent="0.25">
      <c r="A276" s="27">
        <f t="shared" si="4"/>
        <v>46287</v>
      </c>
      <c r="B276" s="20">
        <v>0</v>
      </c>
      <c r="C276" s="20">
        <v>0</v>
      </c>
      <c r="D276" s="20">
        <v>0</v>
      </c>
      <c r="E276" s="20">
        <v>0</v>
      </c>
      <c r="F276" s="20">
        <v>0</v>
      </c>
      <c r="G276" s="20">
        <v>0</v>
      </c>
      <c r="H276" s="20">
        <v>272.7</v>
      </c>
      <c r="I276" s="20">
        <v>813.3</v>
      </c>
      <c r="J276" s="20">
        <v>1255.5</v>
      </c>
      <c r="K276" s="20">
        <v>1395.1</v>
      </c>
      <c r="L276" s="20">
        <v>1139.4</v>
      </c>
      <c r="M276" s="20">
        <v>1368.5</v>
      </c>
      <c r="N276" s="20">
        <v>675</v>
      </c>
      <c r="O276" s="20">
        <v>1382.4</v>
      </c>
      <c r="P276" s="20">
        <v>737.6</v>
      </c>
      <c r="Q276" s="20">
        <v>305.2</v>
      </c>
      <c r="R276" s="20">
        <v>200.5</v>
      </c>
      <c r="S276" s="20">
        <v>71.2</v>
      </c>
      <c r="T276" s="20">
        <v>0</v>
      </c>
      <c r="U276" s="20">
        <v>0</v>
      </c>
      <c r="V276" s="20">
        <v>0</v>
      </c>
      <c r="W276" s="20">
        <v>0</v>
      </c>
      <c r="X276" s="20">
        <v>0</v>
      </c>
      <c r="Y276" s="20">
        <v>0</v>
      </c>
    </row>
    <row r="277" spans="1:25" x14ac:dyDescent="0.25">
      <c r="A277" s="27">
        <f t="shared" si="4"/>
        <v>46288</v>
      </c>
      <c r="B277" s="20">
        <v>0</v>
      </c>
      <c r="C277" s="20">
        <v>0</v>
      </c>
      <c r="D277" s="20">
        <v>0</v>
      </c>
      <c r="E277" s="20">
        <v>0</v>
      </c>
      <c r="F277" s="20">
        <v>0</v>
      </c>
      <c r="G277" s="20">
        <v>0</v>
      </c>
      <c r="H277" s="20">
        <v>172.5</v>
      </c>
      <c r="I277" s="20">
        <v>864.8</v>
      </c>
      <c r="J277" s="20">
        <v>352.7</v>
      </c>
      <c r="K277" s="20">
        <v>1313.5</v>
      </c>
      <c r="L277" s="20">
        <v>45.1</v>
      </c>
      <c r="M277" s="20">
        <v>264.8</v>
      </c>
      <c r="N277" s="20">
        <v>537.3</v>
      </c>
      <c r="O277" s="20">
        <v>492.7</v>
      </c>
      <c r="P277" s="20">
        <v>92.6</v>
      </c>
      <c r="Q277" s="20">
        <v>211.2</v>
      </c>
      <c r="R277" s="20">
        <v>182.2</v>
      </c>
      <c r="S277" s="20">
        <v>44.3</v>
      </c>
      <c r="T277" s="20">
        <v>0</v>
      </c>
      <c r="U277" s="20">
        <v>0</v>
      </c>
      <c r="V277" s="20">
        <v>0</v>
      </c>
      <c r="W277" s="20">
        <v>0</v>
      </c>
      <c r="X277" s="20">
        <v>0</v>
      </c>
      <c r="Y277" s="20">
        <v>0</v>
      </c>
    </row>
    <row r="278" spans="1:25" x14ac:dyDescent="0.25">
      <c r="A278" s="27">
        <f t="shared" si="4"/>
        <v>46289</v>
      </c>
      <c r="B278" s="20">
        <v>0</v>
      </c>
      <c r="C278" s="20">
        <v>0</v>
      </c>
      <c r="D278" s="20">
        <v>0</v>
      </c>
      <c r="E278" s="20">
        <v>0</v>
      </c>
      <c r="F278" s="20">
        <v>0</v>
      </c>
      <c r="G278" s="20">
        <v>0</v>
      </c>
      <c r="H278" s="20">
        <v>229.8</v>
      </c>
      <c r="I278" s="20">
        <v>738.2</v>
      </c>
      <c r="J278" s="20">
        <v>1071.5</v>
      </c>
      <c r="K278" s="20">
        <v>1394.7</v>
      </c>
      <c r="L278" s="20">
        <v>1384.6</v>
      </c>
      <c r="M278" s="20">
        <v>423.9</v>
      </c>
      <c r="N278" s="20">
        <v>1342.4</v>
      </c>
      <c r="O278" s="20">
        <v>756.6</v>
      </c>
      <c r="P278" s="20">
        <v>412.2</v>
      </c>
      <c r="Q278" s="20">
        <v>221.7</v>
      </c>
      <c r="R278" s="20">
        <v>64.8</v>
      </c>
      <c r="S278" s="20">
        <v>0</v>
      </c>
      <c r="T278" s="20">
        <v>0</v>
      </c>
      <c r="U278" s="20">
        <v>0</v>
      </c>
      <c r="V278" s="20">
        <v>0</v>
      </c>
      <c r="W278" s="20">
        <v>0</v>
      </c>
      <c r="X278" s="20">
        <v>0</v>
      </c>
      <c r="Y278" s="20">
        <v>0</v>
      </c>
    </row>
    <row r="279" spans="1:25" x14ac:dyDescent="0.25">
      <c r="A279" s="27">
        <f t="shared" si="4"/>
        <v>46290</v>
      </c>
      <c r="B279" s="20">
        <v>0</v>
      </c>
      <c r="C279" s="20">
        <v>0</v>
      </c>
      <c r="D279" s="20">
        <v>0</v>
      </c>
      <c r="E279" s="20">
        <v>0</v>
      </c>
      <c r="F279" s="20">
        <v>0</v>
      </c>
      <c r="G279" s="20">
        <v>0</v>
      </c>
      <c r="H279" s="20">
        <v>238.7</v>
      </c>
      <c r="I279" s="20">
        <v>671.6</v>
      </c>
      <c r="J279" s="20">
        <v>1285.3</v>
      </c>
      <c r="K279" s="20">
        <v>1388</v>
      </c>
      <c r="L279" s="20">
        <v>304.8</v>
      </c>
      <c r="M279" s="20">
        <v>0</v>
      </c>
      <c r="N279" s="20">
        <v>1378.9</v>
      </c>
      <c r="O279" s="20">
        <v>1396</v>
      </c>
      <c r="P279" s="20">
        <v>932.3</v>
      </c>
      <c r="Q279" s="20">
        <v>394</v>
      </c>
      <c r="R279" s="20">
        <v>201.1</v>
      </c>
      <c r="S279" s="20">
        <v>50.2</v>
      </c>
      <c r="T279" s="20">
        <v>0</v>
      </c>
      <c r="U279" s="20">
        <v>0</v>
      </c>
      <c r="V279" s="20">
        <v>0</v>
      </c>
      <c r="W279" s="20">
        <v>0</v>
      </c>
      <c r="X279" s="20">
        <v>0</v>
      </c>
      <c r="Y279" s="20">
        <v>0</v>
      </c>
    </row>
    <row r="280" spans="1:25" x14ac:dyDescent="0.25">
      <c r="A280" s="27">
        <f t="shared" si="4"/>
        <v>46291</v>
      </c>
      <c r="B280" s="20">
        <v>0</v>
      </c>
      <c r="C280" s="20">
        <v>0</v>
      </c>
      <c r="D280" s="20">
        <v>0</v>
      </c>
      <c r="E280" s="20">
        <v>0</v>
      </c>
      <c r="F280" s="20">
        <v>0</v>
      </c>
      <c r="G280" s="20">
        <v>37.7</v>
      </c>
      <c r="H280" s="20">
        <v>217.4</v>
      </c>
      <c r="I280" s="20">
        <v>245.5</v>
      </c>
      <c r="J280" s="20">
        <v>695.6</v>
      </c>
      <c r="K280" s="20">
        <v>1096.2</v>
      </c>
      <c r="L280" s="20">
        <v>1371.2</v>
      </c>
      <c r="M280" s="20">
        <v>1395.8</v>
      </c>
      <c r="N280" s="20">
        <v>561.4</v>
      </c>
      <c r="O280" s="20">
        <v>1364.5</v>
      </c>
      <c r="P280" s="20">
        <v>1051.3</v>
      </c>
      <c r="Q280" s="20">
        <v>185.7</v>
      </c>
      <c r="R280" s="20">
        <v>80.7</v>
      </c>
      <c r="S280" s="20">
        <v>40.1</v>
      </c>
      <c r="T280" s="20">
        <v>0</v>
      </c>
      <c r="U280" s="20">
        <v>0</v>
      </c>
      <c r="V280" s="20">
        <v>0</v>
      </c>
      <c r="W280" s="20">
        <v>0</v>
      </c>
      <c r="X280" s="20">
        <v>0</v>
      </c>
      <c r="Y280" s="20">
        <v>0</v>
      </c>
    </row>
    <row r="281" spans="1:25" x14ac:dyDescent="0.25">
      <c r="A281" s="27">
        <f t="shared" si="4"/>
        <v>46292</v>
      </c>
      <c r="B281" s="20">
        <v>0</v>
      </c>
      <c r="C281" s="20">
        <v>0</v>
      </c>
      <c r="D281" s="20">
        <v>0</v>
      </c>
      <c r="E281" s="20">
        <v>0</v>
      </c>
      <c r="F281" s="20">
        <v>0</v>
      </c>
      <c r="G281" s="20">
        <v>36.7</v>
      </c>
      <c r="H281" s="20">
        <v>193</v>
      </c>
      <c r="I281" s="20">
        <v>634.5</v>
      </c>
      <c r="J281" s="20">
        <v>694.9</v>
      </c>
      <c r="K281" s="20">
        <v>1006.9</v>
      </c>
      <c r="L281" s="20">
        <v>1290.2</v>
      </c>
      <c r="M281" s="20">
        <v>0</v>
      </c>
      <c r="N281" s="20">
        <v>1377.3</v>
      </c>
      <c r="O281" s="20">
        <v>0</v>
      </c>
      <c r="P281" s="20">
        <v>443.5</v>
      </c>
      <c r="Q281" s="20">
        <v>141.5</v>
      </c>
      <c r="R281" s="20">
        <v>51.8</v>
      </c>
      <c r="S281" s="20">
        <v>0</v>
      </c>
      <c r="T281" s="20">
        <v>0</v>
      </c>
      <c r="U281" s="20">
        <v>0</v>
      </c>
      <c r="V281" s="20">
        <v>0</v>
      </c>
      <c r="W281" s="20">
        <v>0</v>
      </c>
      <c r="X281" s="20">
        <v>0</v>
      </c>
      <c r="Y281" s="20">
        <v>0</v>
      </c>
    </row>
    <row r="282" spans="1:25" x14ac:dyDescent="0.25">
      <c r="A282" s="27">
        <f t="shared" si="4"/>
        <v>46293</v>
      </c>
      <c r="B282" s="20">
        <v>0</v>
      </c>
      <c r="C282" s="20">
        <v>0</v>
      </c>
      <c r="D282" s="20">
        <v>0</v>
      </c>
      <c r="E282" s="20">
        <v>0</v>
      </c>
      <c r="F282" s="20">
        <v>0</v>
      </c>
      <c r="G282" s="20">
        <v>0</v>
      </c>
      <c r="H282" s="20">
        <v>6.5</v>
      </c>
      <c r="I282" s="20">
        <v>323.7</v>
      </c>
      <c r="J282" s="20">
        <v>596.3</v>
      </c>
      <c r="K282" s="20">
        <v>901.3</v>
      </c>
      <c r="L282" s="20">
        <v>989.6</v>
      </c>
      <c r="M282" s="20">
        <v>995.6</v>
      </c>
      <c r="N282" s="20">
        <v>988.2</v>
      </c>
      <c r="O282" s="20">
        <v>836.7</v>
      </c>
      <c r="P282" s="20">
        <v>123.4</v>
      </c>
      <c r="Q282" s="20">
        <v>684.1</v>
      </c>
      <c r="R282" s="20">
        <v>102.2</v>
      </c>
      <c r="S282" s="20">
        <v>0</v>
      </c>
      <c r="T282" s="20">
        <v>0</v>
      </c>
      <c r="U282" s="20">
        <v>0</v>
      </c>
      <c r="V282" s="20">
        <v>0</v>
      </c>
      <c r="W282" s="20">
        <v>0</v>
      </c>
      <c r="X282" s="20">
        <v>0</v>
      </c>
      <c r="Y282" s="20">
        <v>0</v>
      </c>
    </row>
    <row r="283" spans="1:25" x14ac:dyDescent="0.25">
      <c r="A283" s="27">
        <f t="shared" si="4"/>
        <v>46294</v>
      </c>
      <c r="B283" s="20">
        <v>0</v>
      </c>
      <c r="C283" s="20">
        <v>0</v>
      </c>
      <c r="D283" s="20">
        <v>0</v>
      </c>
      <c r="E283" s="20">
        <v>0</v>
      </c>
      <c r="F283" s="20">
        <v>0</v>
      </c>
      <c r="G283" s="20">
        <v>0</v>
      </c>
      <c r="H283" s="20">
        <v>24.6</v>
      </c>
      <c r="I283" s="20">
        <v>307.3</v>
      </c>
      <c r="J283" s="20">
        <v>594.4</v>
      </c>
      <c r="K283" s="20">
        <v>188</v>
      </c>
      <c r="L283" s="20">
        <v>547.8</v>
      </c>
      <c r="M283" s="20">
        <v>261.7</v>
      </c>
      <c r="N283" s="20">
        <v>670.8</v>
      </c>
      <c r="O283" s="20">
        <v>338.7</v>
      </c>
      <c r="P283" s="20">
        <v>824.1</v>
      </c>
      <c r="Q283" s="20">
        <v>103.4</v>
      </c>
      <c r="R283" s="20">
        <v>92.9</v>
      </c>
      <c r="S283" s="20">
        <v>0</v>
      </c>
      <c r="T283" s="20">
        <v>0</v>
      </c>
      <c r="U283" s="20">
        <v>0</v>
      </c>
      <c r="V283" s="20">
        <v>0</v>
      </c>
      <c r="W283" s="20">
        <v>0</v>
      </c>
      <c r="X283" s="20">
        <v>0</v>
      </c>
      <c r="Y283" s="20">
        <v>0</v>
      </c>
    </row>
    <row r="284" spans="1:25" x14ac:dyDescent="0.25">
      <c r="A284" s="27">
        <f t="shared" si="4"/>
        <v>46295</v>
      </c>
      <c r="B284" s="20">
        <v>0</v>
      </c>
      <c r="C284" s="20">
        <v>0</v>
      </c>
      <c r="D284" s="20">
        <v>0</v>
      </c>
      <c r="E284" s="20">
        <v>0</v>
      </c>
      <c r="F284" s="20">
        <v>0</v>
      </c>
      <c r="G284" s="20">
        <v>0</v>
      </c>
      <c r="H284" s="20">
        <v>19.3</v>
      </c>
      <c r="I284" s="20">
        <v>360.8</v>
      </c>
      <c r="J284" s="20">
        <v>546</v>
      </c>
      <c r="K284" s="20">
        <v>790.9</v>
      </c>
      <c r="L284" s="20">
        <v>925.5</v>
      </c>
      <c r="M284" s="20">
        <v>380.1</v>
      </c>
      <c r="N284" s="20">
        <v>506.1</v>
      </c>
      <c r="O284" s="20">
        <v>718</v>
      </c>
      <c r="P284" s="20">
        <v>138.5</v>
      </c>
      <c r="Q284" s="20">
        <v>264.4</v>
      </c>
      <c r="R284" s="20">
        <v>0.2</v>
      </c>
      <c r="S284" s="20">
        <v>0</v>
      </c>
      <c r="T284" s="20">
        <v>0</v>
      </c>
      <c r="U284" s="20">
        <v>0</v>
      </c>
      <c r="V284" s="20">
        <v>0</v>
      </c>
      <c r="W284" s="20">
        <v>0</v>
      </c>
      <c r="X284" s="20">
        <v>0</v>
      </c>
      <c r="Y284" s="20">
        <v>0</v>
      </c>
    </row>
    <row r="285" spans="1:25" x14ac:dyDescent="0.25">
      <c r="A285" s="27">
        <f t="shared" si="4"/>
        <v>46296</v>
      </c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 x14ac:dyDescent="0.25">
      <c r="A286" s="27">
        <f t="shared" si="4"/>
        <v>46297</v>
      </c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 x14ac:dyDescent="0.25">
      <c r="A287" s="27">
        <f t="shared" si="4"/>
        <v>46298</v>
      </c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 x14ac:dyDescent="0.25">
      <c r="A288" s="27">
        <f t="shared" si="4"/>
        <v>46299</v>
      </c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35" x14ac:dyDescent="0.25">
      <c r="A289" s="27">
        <f t="shared" si="4"/>
        <v>46300</v>
      </c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35" x14ac:dyDescent="0.25">
      <c r="A290" s="27">
        <f t="shared" si="4"/>
        <v>46301</v>
      </c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35" x14ac:dyDescent="0.25">
      <c r="A291" s="27">
        <f t="shared" si="4"/>
        <v>46302</v>
      </c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35" x14ac:dyDescent="0.25">
      <c r="A292" s="27">
        <f t="shared" si="4"/>
        <v>46303</v>
      </c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35" x14ac:dyDescent="0.25">
      <c r="A293" s="27">
        <f t="shared" si="4"/>
        <v>46304</v>
      </c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</row>
    <row r="294" spans="1:35" x14ac:dyDescent="0.25">
      <c r="A294" s="27">
        <f t="shared" si="4"/>
        <v>46305</v>
      </c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35" x14ac:dyDescent="0.25">
      <c r="A295" s="27">
        <f t="shared" si="4"/>
        <v>46306</v>
      </c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35" x14ac:dyDescent="0.25">
      <c r="A296" s="27">
        <f t="shared" si="4"/>
        <v>46307</v>
      </c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35" x14ac:dyDescent="0.25">
      <c r="A297" s="27">
        <f t="shared" si="4"/>
        <v>46308</v>
      </c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35" x14ac:dyDescent="0.25">
      <c r="A298" s="27">
        <f t="shared" si="4"/>
        <v>46309</v>
      </c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35" x14ac:dyDescent="0.25">
      <c r="A299" s="27">
        <f t="shared" si="4"/>
        <v>46310</v>
      </c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35" x14ac:dyDescent="0.25">
      <c r="A300" s="27">
        <f t="shared" si="4"/>
        <v>46311</v>
      </c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35" x14ac:dyDescent="0.25">
      <c r="A301" s="27">
        <f t="shared" si="4"/>
        <v>46312</v>
      </c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35" x14ac:dyDescent="0.25">
      <c r="A302" s="27">
        <f t="shared" si="4"/>
        <v>46313</v>
      </c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35" x14ac:dyDescent="0.25">
      <c r="A303" s="27">
        <f t="shared" si="4"/>
        <v>46314</v>
      </c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35" x14ac:dyDescent="0.25">
      <c r="A304" s="27">
        <f t="shared" si="4"/>
        <v>46315</v>
      </c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 x14ac:dyDescent="0.25">
      <c r="A305" s="27">
        <f t="shared" si="4"/>
        <v>46316</v>
      </c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 x14ac:dyDescent="0.25">
      <c r="A306" s="27">
        <f t="shared" si="4"/>
        <v>46317</v>
      </c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 x14ac:dyDescent="0.25">
      <c r="A307" s="27">
        <f t="shared" si="4"/>
        <v>46318</v>
      </c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 x14ac:dyDescent="0.25">
      <c r="A308" s="27">
        <f t="shared" si="4"/>
        <v>46319</v>
      </c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 x14ac:dyDescent="0.25">
      <c r="A309" s="27">
        <f t="shared" si="4"/>
        <v>46320</v>
      </c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 x14ac:dyDescent="0.25">
      <c r="A310" s="27">
        <f t="shared" si="4"/>
        <v>46321</v>
      </c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 x14ac:dyDescent="0.25">
      <c r="A311" s="27">
        <f t="shared" si="4"/>
        <v>46322</v>
      </c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 x14ac:dyDescent="0.25">
      <c r="A312" s="27">
        <f t="shared" si="4"/>
        <v>46323</v>
      </c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 x14ac:dyDescent="0.25">
      <c r="A313" s="27">
        <f t="shared" si="4"/>
        <v>46324</v>
      </c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 x14ac:dyDescent="0.25">
      <c r="A314" s="27">
        <f t="shared" si="4"/>
        <v>46325</v>
      </c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 x14ac:dyDescent="0.25">
      <c r="A315" s="27">
        <f t="shared" si="4"/>
        <v>46326</v>
      </c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 x14ac:dyDescent="0.25">
      <c r="A316" s="27">
        <f t="shared" si="4"/>
        <v>46327</v>
      </c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 x14ac:dyDescent="0.25">
      <c r="A317" s="27">
        <f t="shared" si="4"/>
        <v>46328</v>
      </c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 x14ac:dyDescent="0.25">
      <c r="A318" s="27">
        <f t="shared" si="4"/>
        <v>46329</v>
      </c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 x14ac:dyDescent="0.25">
      <c r="A319" s="27">
        <f t="shared" si="4"/>
        <v>46330</v>
      </c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 x14ac:dyDescent="0.25">
      <c r="A320" s="27">
        <f t="shared" si="4"/>
        <v>46331</v>
      </c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35" x14ac:dyDescent="0.25">
      <c r="A321" s="27">
        <f t="shared" si="4"/>
        <v>46332</v>
      </c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35" x14ac:dyDescent="0.25">
      <c r="A322" s="27">
        <f t="shared" si="4"/>
        <v>46333</v>
      </c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35" x14ac:dyDescent="0.25">
      <c r="A323" s="27">
        <f t="shared" si="4"/>
        <v>46334</v>
      </c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35" x14ac:dyDescent="0.25">
      <c r="A324" s="27">
        <f t="shared" si="4"/>
        <v>46335</v>
      </c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35" x14ac:dyDescent="0.25">
      <c r="A325" s="27">
        <f t="shared" si="4"/>
        <v>46336</v>
      </c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</row>
    <row r="326" spans="1:35" x14ac:dyDescent="0.25">
      <c r="A326" s="27">
        <f t="shared" si="4"/>
        <v>46337</v>
      </c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35" x14ac:dyDescent="0.25">
      <c r="A327" s="27">
        <f t="shared" si="4"/>
        <v>46338</v>
      </c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35" x14ac:dyDescent="0.25">
      <c r="A328" s="27">
        <f t="shared" si="4"/>
        <v>46339</v>
      </c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35" x14ac:dyDescent="0.25">
      <c r="A329" s="27">
        <f t="shared" si="4"/>
        <v>46340</v>
      </c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35" x14ac:dyDescent="0.25">
      <c r="A330" s="27">
        <f t="shared" si="4"/>
        <v>46341</v>
      </c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35" x14ac:dyDescent="0.25">
      <c r="A331" s="27">
        <f t="shared" si="4"/>
        <v>46342</v>
      </c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35" x14ac:dyDescent="0.25">
      <c r="A332" s="27">
        <f t="shared" si="4"/>
        <v>46343</v>
      </c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35" x14ac:dyDescent="0.25">
      <c r="A333" s="27">
        <f t="shared" si="4"/>
        <v>46344</v>
      </c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35" x14ac:dyDescent="0.25">
      <c r="A334" s="27">
        <f t="shared" ref="A334:A377" si="5">+A333+1</f>
        <v>46345</v>
      </c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35" x14ac:dyDescent="0.25">
      <c r="A335" s="27">
        <f t="shared" si="5"/>
        <v>46346</v>
      </c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35" x14ac:dyDescent="0.25">
      <c r="A336" s="27">
        <f t="shared" si="5"/>
        <v>46347</v>
      </c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 x14ac:dyDescent="0.25">
      <c r="A337" s="27">
        <f t="shared" si="5"/>
        <v>46348</v>
      </c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 x14ac:dyDescent="0.25">
      <c r="A338" s="27">
        <f t="shared" si="5"/>
        <v>46349</v>
      </c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 x14ac:dyDescent="0.25">
      <c r="A339" s="27">
        <f t="shared" si="5"/>
        <v>46350</v>
      </c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 x14ac:dyDescent="0.25">
      <c r="A340" s="27">
        <f t="shared" si="5"/>
        <v>46351</v>
      </c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 x14ac:dyDescent="0.25">
      <c r="A341" s="27">
        <f t="shared" si="5"/>
        <v>46352</v>
      </c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 x14ac:dyDescent="0.25">
      <c r="A342" s="27">
        <f t="shared" si="5"/>
        <v>46353</v>
      </c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 x14ac:dyDescent="0.25">
      <c r="A343" s="27">
        <f t="shared" si="5"/>
        <v>46354</v>
      </c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 x14ac:dyDescent="0.25">
      <c r="A344" s="27">
        <f t="shared" si="5"/>
        <v>46355</v>
      </c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 x14ac:dyDescent="0.25">
      <c r="A345" s="27">
        <f t="shared" si="5"/>
        <v>46356</v>
      </c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 x14ac:dyDescent="0.25">
      <c r="A346" s="27">
        <f t="shared" si="5"/>
        <v>46357</v>
      </c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 x14ac:dyDescent="0.25">
      <c r="A347" s="27">
        <f t="shared" si="5"/>
        <v>46358</v>
      </c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 x14ac:dyDescent="0.25">
      <c r="A348" s="27">
        <f t="shared" si="5"/>
        <v>46359</v>
      </c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 x14ac:dyDescent="0.25">
      <c r="A349" s="27">
        <f t="shared" si="5"/>
        <v>46360</v>
      </c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 x14ac:dyDescent="0.25">
      <c r="A350" s="27">
        <f t="shared" si="5"/>
        <v>46361</v>
      </c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 x14ac:dyDescent="0.25">
      <c r="A351" s="27">
        <f t="shared" si="5"/>
        <v>46362</v>
      </c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 x14ac:dyDescent="0.25">
      <c r="A352" s="27">
        <f t="shared" si="5"/>
        <v>46363</v>
      </c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35" x14ac:dyDescent="0.25">
      <c r="A353" s="27">
        <f t="shared" si="5"/>
        <v>46364</v>
      </c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35" x14ac:dyDescent="0.25">
      <c r="A354" s="27">
        <f t="shared" si="5"/>
        <v>46365</v>
      </c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35" x14ac:dyDescent="0.25">
      <c r="A355" s="27">
        <f t="shared" si="5"/>
        <v>46366</v>
      </c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35" x14ac:dyDescent="0.25">
      <c r="A356" s="27">
        <f t="shared" si="5"/>
        <v>46367</v>
      </c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</row>
    <row r="357" spans="1:35" x14ac:dyDescent="0.25">
      <c r="A357" s="27">
        <f t="shared" si="5"/>
        <v>46368</v>
      </c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35" x14ac:dyDescent="0.25">
      <c r="A358" s="27">
        <f t="shared" si="5"/>
        <v>46369</v>
      </c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35" x14ac:dyDescent="0.25">
      <c r="A359" s="27">
        <f t="shared" si="5"/>
        <v>46370</v>
      </c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35" x14ac:dyDescent="0.25">
      <c r="A360" s="27">
        <f t="shared" si="5"/>
        <v>46371</v>
      </c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35" x14ac:dyDescent="0.25">
      <c r="A361" s="27">
        <f t="shared" si="5"/>
        <v>46372</v>
      </c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35" x14ac:dyDescent="0.25">
      <c r="A362" s="27">
        <f t="shared" si="5"/>
        <v>46373</v>
      </c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35" x14ac:dyDescent="0.25">
      <c r="A363" s="27">
        <f t="shared" si="5"/>
        <v>46374</v>
      </c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35" x14ac:dyDescent="0.25">
      <c r="A364" s="27">
        <f t="shared" si="5"/>
        <v>46375</v>
      </c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35" x14ac:dyDescent="0.25">
      <c r="A365" s="27">
        <f t="shared" si="5"/>
        <v>46376</v>
      </c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35" x14ac:dyDescent="0.25">
      <c r="A366" s="27">
        <f t="shared" si="5"/>
        <v>46377</v>
      </c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35" x14ac:dyDescent="0.25">
      <c r="A367" s="27">
        <f t="shared" si="5"/>
        <v>46378</v>
      </c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35" x14ac:dyDescent="0.25">
      <c r="A368" s="27">
        <f t="shared" si="5"/>
        <v>46379</v>
      </c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8" x14ac:dyDescent="0.25">
      <c r="A369" s="27">
        <f t="shared" si="5"/>
        <v>46380</v>
      </c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8" x14ac:dyDescent="0.25">
      <c r="A370" s="27">
        <f t="shared" si="5"/>
        <v>46381</v>
      </c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8" x14ac:dyDescent="0.25">
      <c r="A371" s="27">
        <f t="shared" si="5"/>
        <v>46382</v>
      </c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8" x14ac:dyDescent="0.25">
      <c r="A372" s="27">
        <f t="shared" si="5"/>
        <v>46383</v>
      </c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8" x14ac:dyDescent="0.25">
      <c r="A373" s="27">
        <f t="shared" si="5"/>
        <v>46384</v>
      </c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8" x14ac:dyDescent="0.25">
      <c r="A374" s="27">
        <f t="shared" si="5"/>
        <v>46385</v>
      </c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8" x14ac:dyDescent="0.25">
      <c r="A375" s="27">
        <f t="shared" si="5"/>
        <v>46386</v>
      </c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8" x14ac:dyDescent="0.25">
      <c r="A376" s="27">
        <f t="shared" si="5"/>
        <v>46387</v>
      </c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8" ht="15.75" thickBot="1" x14ac:dyDescent="0.3">
      <c r="A377" s="28">
        <f t="shared" si="5"/>
        <v>46388</v>
      </c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8" x14ac:dyDescent="0.25"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x14ac:dyDescent="0.25"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x14ac:dyDescent="0.25"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x14ac:dyDescent="0.25"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x14ac:dyDescent="0.25"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x14ac:dyDescent="0.25"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x14ac:dyDescent="0.25"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3:28" x14ac:dyDescent="0.25"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3:28" x14ac:dyDescent="0.25"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3:28" x14ac:dyDescent="0.25"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3:28" x14ac:dyDescent="0.25">
      <c r="C388" s="8"/>
      <c r="D388" s="8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 spans="3:28" x14ac:dyDescent="0.25">
      <c r="C389" s="8"/>
      <c r="D389" s="10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</sheetData>
  <sheetProtection algorithmName="SHA-512" hashValue="UB/DIqcpO+rMyLEWEXHeO5kJuspSh1xenKZnYgcj7+bcMSJAZceNE8mSvHH2+cwoqA3QurOyd/OxNvFMtQC0QQ==" saltValue="ZsUKes1wpd4LfYPaXZMQ5g==" spinCount="100000" sheet="1" objects="1" scenarios="1"/>
  <sortState xmlns:xlrd2="http://schemas.microsoft.com/office/spreadsheetml/2017/richdata2" ref="AM2:AM42">
    <sortCondition ref="AM2:AM42"/>
  </sortState>
  <mergeCells count="16">
    <mergeCell ref="X7:Y7"/>
    <mergeCell ref="X8:Y8"/>
    <mergeCell ref="S8:T8"/>
    <mergeCell ref="B4:C4"/>
    <mergeCell ref="A7:C7"/>
    <mergeCell ref="A8:C8"/>
    <mergeCell ref="L7:M7"/>
    <mergeCell ref="L8:M8"/>
    <mergeCell ref="F7:K7"/>
    <mergeCell ref="C6:AB6"/>
    <mergeCell ref="F8:K8"/>
    <mergeCell ref="P7:R7"/>
    <mergeCell ref="P8:R8"/>
    <mergeCell ref="S7:T7"/>
    <mergeCell ref="V7:W7"/>
    <mergeCell ref="V8:W8"/>
  </mergeCell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Hoja1!$A$1:$A$158</xm:f>
          </x14:formula1>
          <xm:sqref>B4:C4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158"/>
  <sheetViews>
    <sheetView topLeftCell="A130" workbookViewId="0">
      <selection activeCell="D5" sqref="D5"/>
    </sheetView>
  </sheetViews>
  <sheetFormatPr baseColWidth="10" defaultRowHeight="15" x14ac:dyDescent="0.25"/>
  <cols>
    <col min="1" max="1" width="28.5703125" bestFit="1" customWidth="1"/>
    <col min="3" max="3" width="10.5703125" customWidth="1"/>
  </cols>
  <sheetData>
    <row r="1" spans="1:1" x14ac:dyDescent="0.25">
      <c r="A1" t="s">
        <v>94</v>
      </c>
    </row>
    <row r="2" spans="1:1" x14ac:dyDescent="0.25">
      <c r="A2" t="s">
        <v>154</v>
      </c>
    </row>
    <row r="3" spans="1:1" x14ac:dyDescent="0.25">
      <c r="A3" t="s">
        <v>120</v>
      </c>
    </row>
    <row r="4" spans="1:1" x14ac:dyDescent="0.25">
      <c r="A4" t="s">
        <v>121</v>
      </c>
    </row>
    <row r="5" spans="1:1" x14ac:dyDescent="0.25">
      <c r="A5" t="s">
        <v>122</v>
      </c>
    </row>
    <row r="6" spans="1:1" x14ac:dyDescent="0.25">
      <c r="A6" t="s">
        <v>123</v>
      </c>
    </row>
    <row r="7" spans="1:1" x14ac:dyDescent="0.25">
      <c r="A7" t="s">
        <v>40</v>
      </c>
    </row>
    <row r="8" spans="1:1" x14ac:dyDescent="0.25">
      <c r="A8" t="s">
        <v>108</v>
      </c>
    </row>
    <row r="9" spans="1:1" x14ac:dyDescent="0.25">
      <c r="A9" t="s">
        <v>98</v>
      </c>
    </row>
    <row r="10" spans="1:1" x14ac:dyDescent="0.25">
      <c r="A10" t="s">
        <v>82</v>
      </c>
    </row>
    <row r="11" spans="1:1" x14ac:dyDescent="0.25">
      <c r="A11" t="s">
        <v>85</v>
      </c>
    </row>
    <row r="12" spans="1:1" x14ac:dyDescent="0.25">
      <c r="A12" t="s">
        <v>43</v>
      </c>
    </row>
    <row r="13" spans="1:1" x14ac:dyDescent="0.25">
      <c r="A13" t="s">
        <v>44</v>
      </c>
    </row>
    <row r="14" spans="1:1" x14ac:dyDescent="0.25">
      <c r="A14" t="s">
        <v>155</v>
      </c>
    </row>
    <row r="15" spans="1:1" x14ac:dyDescent="0.25">
      <c r="A15" t="s">
        <v>77</v>
      </c>
    </row>
    <row r="16" spans="1:1" x14ac:dyDescent="0.25">
      <c r="A16" t="s">
        <v>45</v>
      </c>
    </row>
    <row r="17" spans="1:1" x14ac:dyDescent="0.25">
      <c r="A17" t="s">
        <v>156</v>
      </c>
    </row>
    <row r="18" spans="1:1" x14ac:dyDescent="0.25">
      <c r="A18" t="s">
        <v>118</v>
      </c>
    </row>
    <row r="19" spans="1:1" x14ac:dyDescent="0.25">
      <c r="A19" t="s">
        <v>88</v>
      </c>
    </row>
    <row r="20" spans="1:1" x14ac:dyDescent="0.25">
      <c r="A20" t="s">
        <v>124</v>
      </c>
    </row>
    <row r="21" spans="1:1" x14ac:dyDescent="0.25">
      <c r="A21" t="s">
        <v>125</v>
      </c>
    </row>
    <row r="22" spans="1:1" x14ac:dyDescent="0.25">
      <c r="A22" t="s">
        <v>126</v>
      </c>
    </row>
    <row r="23" spans="1:1" x14ac:dyDescent="0.25">
      <c r="A23" t="s">
        <v>127</v>
      </c>
    </row>
    <row r="24" spans="1:1" x14ac:dyDescent="0.25">
      <c r="A24" t="s">
        <v>128</v>
      </c>
    </row>
    <row r="25" spans="1:1" x14ac:dyDescent="0.25">
      <c r="A25" t="s">
        <v>129</v>
      </c>
    </row>
    <row r="26" spans="1:1" x14ac:dyDescent="0.25">
      <c r="A26" t="s">
        <v>130</v>
      </c>
    </row>
    <row r="27" spans="1:1" x14ac:dyDescent="0.25">
      <c r="A27" t="s">
        <v>46</v>
      </c>
    </row>
    <row r="28" spans="1:1" x14ac:dyDescent="0.25">
      <c r="A28" t="s">
        <v>105</v>
      </c>
    </row>
    <row r="29" spans="1:1" x14ac:dyDescent="0.25">
      <c r="A29" t="s">
        <v>157</v>
      </c>
    </row>
    <row r="30" spans="1:1" x14ac:dyDescent="0.25">
      <c r="A30" t="s">
        <v>104</v>
      </c>
    </row>
    <row r="31" spans="1:1" x14ac:dyDescent="0.25">
      <c r="A31" t="s">
        <v>101</v>
      </c>
    </row>
    <row r="32" spans="1:1" x14ac:dyDescent="0.25">
      <c r="A32" t="s">
        <v>38</v>
      </c>
    </row>
    <row r="33" spans="1:1" x14ac:dyDescent="0.25">
      <c r="A33" t="s">
        <v>131</v>
      </c>
    </row>
    <row r="34" spans="1:1" x14ac:dyDescent="0.25">
      <c r="A34" t="s">
        <v>158</v>
      </c>
    </row>
    <row r="35" spans="1:1" x14ac:dyDescent="0.25">
      <c r="A35" t="s">
        <v>132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159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133</v>
      </c>
    </row>
    <row r="42" spans="1:1" x14ac:dyDescent="0.25">
      <c r="A42" t="s">
        <v>51</v>
      </c>
    </row>
    <row r="43" spans="1:1" x14ac:dyDescent="0.25">
      <c r="A43" t="s">
        <v>114</v>
      </c>
    </row>
    <row r="44" spans="1:1" x14ac:dyDescent="0.25">
      <c r="A44" t="s">
        <v>115</v>
      </c>
    </row>
    <row r="45" spans="1:1" x14ac:dyDescent="0.25">
      <c r="A45" t="s">
        <v>116</v>
      </c>
    </row>
    <row r="46" spans="1:1" x14ac:dyDescent="0.25">
      <c r="A46" t="s">
        <v>52</v>
      </c>
    </row>
    <row r="47" spans="1:1" x14ac:dyDescent="0.25">
      <c r="A47" t="s">
        <v>53</v>
      </c>
    </row>
    <row r="48" spans="1:1" x14ac:dyDescent="0.25">
      <c r="A48" t="s">
        <v>54</v>
      </c>
    </row>
    <row r="49" spans="1:1" x14ac:dyDescent="0.25">
      <c r="A49" t="s">
        <v>55</v>
      </c>
    </row>
    <row r="50" spans="1:1" x14ac:dyDescent="0.25">
      <c r="A50" t="s">
        <v>160</v>
      </c>
    </row>
    <row r="51" spans="1:1" x14ac:dyDescent="0.25">
      <c r="A51" t="s">
        <v>56</v>
      </c>
    </row>
    <row r="52" spans="1:1" x14ac:dyDescent="0.25">
      <c r="A52" t="s">
        <v>102</v>
      </c>
    </row>
    <row r="53" spans="1:1" x14ac:dyDescent="0.25">
      <c r="A53" t="s">
        <v>96</v>
      </c>
    </row>
    <row r="54" spans="1:1" x14ac:dyDescent="0.25">
      <c r="A54" t="s">
        <v>134</v>
      </c>
    </row>
    <row r="55" spans="1:1" x14ac:dyDescent="0.25">
      <c r="A55" t="s">
        <v>57</v>
      </c>
    </row>
    <row r="56" spans="1:1" x14ac:dyDescent="0.25">
      <c r="A56" t="s">
        <v>161</v>
      </c>
    </row>
    <row r="57" spans="1:1" x14ac:dyDescent="0.25">
      <c r="A57" t="s">
        <v>162</v>
      </c>
    </row>
    <row r="58" spans="1:1" x14ac:dyDescent="0.25">
      <c r="A58" t="s">
        <v>83</v>
      </c>
    </row>
    <row r="59" spans="1:1" x14ac:dyDescent="0.25">
      <c r="A59" t="s">
        <v>135</v>
      </c>
    </row>
    <row r="60" spans="1:1" x14ac:dyDescent="0.25">
      <c r="A60" t="s">
        <v>163</v>
      </c>
    </row>
    <row r="61" spans="1:1" x14ac:dyDescent="0.25">
      <c r="A61" t="s">
        <v>136</v>
      </c>
    </row>
    <row r="62" spans="1:1" x14ac:dyDescent="0.25">
      <c r="A62" t="s">
        <v>58</v>
      </c>
    </row>
    <row r="63" spans="1:1" x14ac:dyDescent="0.25">
      <c r="A63" t="s">
        <v>59</v>
      </c>
    </row>
    <row r="64" spans="1:1" x14ac:dyDescent="0.25">
      <c r="A64" t="s">
        <v>60</v>
      </c>
    </row>
    <row r="65" spans="1:1" x14ac:dyDescent="0.25">
      <c r="A65" t="s">
        <v>61</v>
      </c>
    </row>
    <row r="66" spans="1:1" x14ac:dyDescent="0.25">
      <c r="A66" t="s">
        <v>86</v>
      </c>
    </row>
    <row r="67" spans="1:1" x14ac:dyDescent="0.25">
      <c r="A67" t="s">
        <v>164</v>
      </c>
    </row>
    <row r="68" spans="1:1" x14ac:dyDescent="0.25">
      <c r="A68" t="s">
        <v>165</v>
      </c>
    </row>
    <row r="69" spans="1:1" x14ac:dyDescent="0.25">
      <c r="A69" t="s">
        <v>166</v>
      </c>
    </row>
    <row r="70" spans="1:1" x14ac:dyDescent="0.25">
      <c r="A70" t="s">
        <v>137</v>
      </c>
    </row>
    <row r="71" spans="1:1" x14ac:dyDescent="0.25">
      <c r="A71" t="s">
        <v>87</v>
      </c>
    </row>
    <row r="72" spans="1:1" x14ac:dyDescent="0.25">
      <c r="A72" t="s">
        <v>138</v>
      </c>
    </row>
    <row r="73" spans="1:1" x14ac:dyDescent="0.25">
      <c r="A73" t="s">
        <v>139</v>
      </c>
    </row>
    <row r="74" spans="1:1" x14ac:dyDescent="0.25">
      <c r="A74" t="s">
        <v>62</v>
      </c>
    </row>
    <row r="75" spans="1:1" x14ac:dyDescent="0.25">
      <c r="A75" t="s">
        <v>140</v>
      </c>
    </row>
    <row r="76" spans="1:1" x14ac:dyDescent="0.25">
      <c r="A76" t="s">
        <v>63</v>
      </c>
    </row>
    <row r="77" spans="1:1" x14ac:dyDescent="0.25">
      <c r="A77" t="s">
        <v>167</v>
      </c>
    </row>
    <row r="78" spans="1:1" x14ac:dyDescent="0.25">
      <c r="A78" t="s">
        <v>168</v>
      </c>
    </row>
    <row r="79" spans="1:1" x14ac:dyDescent="0.25">
      <c r="A79" t="s">
        <v>91</v>
      </c>
    </row>
    <row r="80" spans="1:1" x14ac:dyDescent="0.25">
      <c r="A80" t="s">
        <v>141</v>
      </c>
    </row>
    <row r="81" spans="1:1" x14ac:dyDescent="0.25">
      <c r="A81" t="s">
        <v>95</v>
      </c>
    </row>
    <row r="82" spans="1:1" x14ac:dyDescent="0.25">
      <c r="A82" t="s">
        <v>169</v>
      </c>
    </row>
    <row r="83" spans="1:1" x14ac:dyDescent="0.25">
      <c r="A83" t="s">
        <v>64</v>
      </c>
    </row>
    <row r="84" spans="1:1" x14ac:dyDescent="0.25">
      <c r="A84" t="s">
        <v>65</v>
      </c>
    </row>
    <row r="85" spans="1:1" x14ac:dyDescent="0.25">
      <c r="A85" t="s">
        <v>66</v>
      </c>
    </row>
    <row r="86" spans="1:1" x14ac:dyDescent="0.25">
      <c r="A86" t="s">
        <v>106</v>
      </c>
    </row>
    <row r="87" spans="1:1" x14ac:dyDescent="0.25">
      <c r="A87" t="s">
        <v>107</v>
      </c>
    </row>
    <row r="88" spans="1:1" x14ac:dyDescent="0.25">
      <c r="A88" t="s">
        <v>142</v>
      </c>
    </row>
    <row r="89" spans="1:1" x14ac:dyDescent="0.25">
      <c r="A89" t="s">
        <v>170</v>
      </c>
    </row>
    <row r="90" spans="1:1" x14ac:dyDescent="0.25">
      <c r="A90" t="s">
        <v>103</v>
      </c>
    </row>
    <row r="91" spans="1:1" x14ac:dyDescent="0.25">
      <c r="A91" t="s">
        <v>97</v>
      </c>
    </row>
    <row r="92" spans="1:1" x14ac:dyDescent="0.25">
      <c r="A92" t="s">
        <v>99</v>
      </c>
    </row>
    <row r="93" spans="1:1" x14ac:dyDescent="0.25">
      <c r="A93" t="s">
        <v>143</v>
      </c>
    </row>
    <row r="94" spans="1:1" x14ac:dyDescent="0.25">
      <c r="A94" t="s">
        <v>67</v>
      </c>
    </row>
    <row r="95" spans="1:1" x14ac:dyDescent="0.25">
      <c r="A95" t="s">
        <v>110</v>
      </c>
    </row>
    <row r="96" spans="1:1" x14ac:dyDescent="0.25">
      <c r="A96" t="s">
        <v>171</v>
      </c>
    </row>
    <row r="97" spans="1:1" x14ac:dyDescent="0.25">
      <c r="A97" t="s">
        <v>172</v>
      </c>
    </row>
    <row r="98" spans="1:1" x14ac:dyDescent="0.25">
      <c r="A98" t="s">
        <v>173</v>
      </c>
    </row>
    <row r="99" spans="1:1" x14ac:dyDescent="0.25">
      <c r="A99" t="s">
        <v>174</v>
      </c>
    </row>
    <row r="100" spans="1:1" x14ac:dyDescent="0.25">
      <c r="A100" t="s">
        <v>68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177</v>
      </c>
    </row>
    <row r="105" spans="1:1" x14ac:dyDescent="0.25">
      <c r="A105" t="s">
        <v>178</v>
      </c>
    </row>
    <row r="106" spans="1:1" x14ac:dyDescent="0.25">
      <c r="A106" t="s">
        <v>179</v>
      </c>
    </row>
    <row r="107" spans="1:1" x14ac:dyDescent="0.25">
      <c r="A107" t="s">
        <v>180</v>
      </c>
    </row>
    <row r="108" spans="1:1" x14ac:dyDescent="0.25">
      <c r="A108" t="s">
        <v>176</v>
      </c>
    </row>
    <row r="109" spans="1:1" x14ac:dyDescent="0.25">
      <c r="A109" t="s">
        <v>81</v>
      </c>
    </row>
    <row r="110" spans="1:1" x14ac:dyDescent="0.25">
      <c r="A110" t="s">
        <v>144</v>
      </c>
    </row>
    <row r="111" spans="1:1" x14ac:dyDescent="0.25">
      <c r="A111" t="s">
        <v>175</v>
      </c>
    </row>
    <row r="112" spans="1:1" x14ac:dyDescent="0.25">
      <c r="A112" t="s">
        <v>69</v>
      </c>
    </row>
    <row r="113" spans="1:1" x14ac:dyDescent="0.25">
      <c r="A113" t="s">
        <v>181</v>
      </c>
    </row>
    <row r="114" spans="1:1" x14ac:dyDescent="0.25">
      <c r="A114" t="s">
        <v>182</v>
      </c>
    </row>
    <row r="115" spans="1:1" x14ac:dyDescent="0.25">
      <c r="A115" t="s">
        <v>183</v>
      </c>
    </row>
    <row r="116" spans="1:1" x14ac:dyDescent="0.25">
      <c r="A116" t="s">
        <v>185</v>
      </c>
    </row>
    <row r="117" spans="1:1" x14ac:dyDescent="0.25">
      <c r="A117" t="s">
        <v>184</v>
      </c>
    </row>
    <row r="118" spans="1:1" x14ac:dyDescent="0.25">
      <c r="A118" t="s">
        <v>186</v>
      </c>
    </row>
    <row r="119" spans="1:1" x14ac:dyDescent="0.25">
      <c r="A119" t="s">
        <v>187</v>
      </c>
    </row>
    <row r="120" spans="1:1" x14ac:dyDescent="0.25">
      <c r="A120" t="s">
        <v>145</v>
      </c>
    </row>
    <row r="121" spans="1:1" x14ac:dyDescent="0.25">
      <c r="A121" t="s">
        <v>146</v>
      </c>
    </row>
    <row r="122" spans="1:1" x14ac:dyDescent="0.25">
      <c r="A122" t="s">
        <v>70</v>
      </c>
    </row>
    <row r="123" spans="1:1" x14ac:dyDescent="0.25">
      <c r="A123" t="s">
        <v>119</v>
      </c>
    </row>
    <row r="124" spans="1:1" x14ac:dyDescent="0.25">
      <c r="A124" t="s">
        <v>100</v>
      </c>
    </row>
    <row r="125" spans="1:1" x14ac:dyDescent="0.25">
      <c r="A125" t="s">
        <v>188</v>
      </c>
    </row>
    <row r="126" spans="1:1" x14ac:dyDescent="0.25">
      <c r="A126" t="s">
        <v>71</v>
      </c>
    </row>
    <row r="127" spans="1:1" x14ac:dyDescent="0.25">
      <c r="A127" t="s">
        <v>93</v>
      </c>
    </row>
    <row r="128" spans="1:1" x14ac:dyDescent="0.25">
      <c r="A128" t="s">
        <v>72</v>
      </c>
    </row>
    <row r="129" spans="1:1" x14ac:dyDescent="0.25">
      <c r="A129" t="s">
        <v>73</v>
      </c>
    </row>
    <row r="130" spans="1:1" x14ac:dyDescent="0.25">
      <c r="A130" t="s">
        <v>74</v>
      </c>
    </row>
    <row r="131" spans="1:1" x14ac:dyDescent="0.25">
      <c r="A131" t="s">
        <v>84</v>
      </c>
    </row>
    <row r="132" spans="1:1" x14ac:dyDescent="0.25">
      <c r="A132" t="s">
        <v>109</v>
      </c>
    </row>
    <row r="133" spans="1:1" x14ac:dyDescent="0.25">
      <c r="A133" t="s">
        <v>117</v>
      </c>
    </row>
    <row r="134" spans="1:1" x14ac:dyDescent="0.25">
      <c r="A134" t="s">
        <v>147</v>
      </c>
    </row>
    <row r="135" spans="1:1" x14ac:dyDescent="0.25">
      <c r="A135" t="s">
        <v>148</v>
      </c>
    </row>
    <row r="136" spans="1:1" x14ac:dyDescent="0.25">
      <c r="A136" t="s">
        <v>92</v>
      </c>
    </row>
    <row r="137" spans="1:1" x14ac:dyDescent="0.25">
      <c r="A137" t="s">
        <v>149</v>
      </c>
    </row>
    <row r="138" spans="1:1" x14ac:dyDescent="0.25">
      <c r="A138" t="s">
        <v>150</v>
      </c>
    </row>
    <row r="139" spans="1:1" x14ac:dyDescent="0.25">
      <c r="A139" t="s">
        <v>151</v>
      </c>
    </row>
    <row r="140" spans="1:1" x14ac:dyDescent="0.25">
      <c r="A140" t="s">
        <v>152</v>
      </c>
    </row>
    <row r="141" spans="1:1" x14ac:dyDescent="0.25">
      <c r="A141" t="s">
        <v>153</v>
      </c>
    </row>
    <row r="142" spans="1:1" x14ac:dyDescent="0.25">
      <c r="A142" t="s">
        <v>189</v>
      </c>
    </row>
    <row r="143" spans="1:1" x14ac:dyDescent="0.25">
      <c r="A143" t="s">
        <v>190</v>
      </c>
    </row>
    <row r="144" spans="1:1" x14ac:dyDescent="0.25">
      <c r="A144" t="s">
        <v>89</v>
      </c>
    </row>
    <row r="145" spans="1:1" x14ac:dyDescent="0.25">
      <c r="A145" t="s">
        <v>90</v>
      </c>
    </row>
    <row r="146" spans="1:1" x14ac:dyDescent="0.25">
      <c r="A146" t="s">
        <v>39</v>
      </c>
    </row>
    <row r="147" spans="1:1" x14ac:dyDescent="0.25">
      <c r="A147" t="s">
        <v>75</v>
      </c>
    </row>
    <row r="148" spans="1:1" x14ac:dyDescent="0.25">
      <c r="A148" t="s">
        <v>76</v>
      </c>
    </row>
    <row r="149" spans="1:1" x14ac:dyDescent="0.25">
      <c r="A149" t="s">
        <v>42</v>
      </c>
    </row>
    <row r="150" spans="1:1" x14ac:dyDescent="0.25">
      <c r="A150" t="s">
        <v>191</v>
      </c>
    </row>
    <row r="151" spans="1:1" x14ac:dyDescent="0.25">
      <c r="A151" t="s">
        <v>192</v>
      </c>
    </row>
    <row r="152" spans="1:1" x14ac:dyDescent="0.25">
      <c r="A152" t="s">
        <v>193</v>
      </c>
    </row>
    <row r="153" spans="1:1" x14ac:dyDescent="0.25">
      <c r="A153" t="s">
        <v>194</v>
      </c>
    </row>
    <row r="154" spans="1:1" x14ac:dyDescent="0.25">
      <c r="A154" t="s">
        <v>195</v>
      </c>
    </row>
    <row r="155" spans="1:1" x14ac:dyDescent="0.25">
      <c r="A155" t="s">
        <v>196</v>
      </c>
    </row>
    <row r="156" spans="1:1" x14ac:dyDescent="0.25">
      <c r="A156" t="s">
        <v>197</v>
      </c>
    </row>
    <row r="157" spans="1:1" x14ac:dyDescent="0.25">
      <c r="A157" t="s">
        <v>78</v>
      </c>
    </row>
    <row r="158" spans="1:1" x14ac:dyDescent="0.25">
      <c r="A158" t="s">
        <v>41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0c82d3a-46cd-4683-a272-4ac6923c4f90}" enabled="0" method="" siteId="{d0c82d3a-46cd-4683-a272-4ac6923c4f9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RADIACIÓN SOLAR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Hernandez</dc:creator>
  <cp:lastModifiedBy>Jose Morales</cp:lastModifiedBy>
  <dcterms:created xsi:type="dcterms:W3CDTF">2017-10-31T15:35:20Z</dcterms:created>
  <dcterms:modified xsi:type="dcterms:W3CDTF">2026-07-31T20:33:33Z</dcterms:modified>
</cp:coreProperties>
</file>